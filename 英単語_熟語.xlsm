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roshi_000\My Imp\My Own\学習\英語\"/>
    </mc:Choice>
  </mc:AlternateContent>
  <bookViews>
    <workbookView xWindow="-15" yWindow="-15" windowWidth="17250" windowHeight="3615" tabRatio="696" activeTab="1"/>
  </bookViews>
  <sheets>
    <sheet name="英単語帳" sheetId="2" r:id="rId1"/>
    <sheet name="英熟語帳" sheetId="3" r:id="rId2"/>
    <sheet name="ワークシート" sheetId="1" r:id="rId3"/>
  </sheets>
  <definedNames>
    <definedName name="_xlnm._FilterDatabase" localSheetId="0" hidden="1">英単語帳!$A$1:$E$141</definedName>
  </definedNames>
  <calcPr calcId="152511"/>
</workbook>
</file>

<file path=xl/calcChain.xml><?xml version="1.0" encoding="utf-8"?>
<calcChain xmlns="http://schemas.openxmlformats.org/spreadsheetml/2006/main">
  <c r="A9" i="3" l="1"/>
  <c r="A10" i="3" s="1"/>
  <c r="A79" i="2" l="1"/>
  <c r="A80" i="2" s="1"/>
  <c r="A11" i="3" l="1"/>
  <c r="A109" i="2"/>
  <c r="A11" i="2" l="1"/>
  <c r="A65" i="3"/>
  <c r="A19" i="3" l="1"/>
  <c r="A36" i="3"/>
  <c r="A3" i="3" l="1"/>
  <c r="A4" i="3"/>
  <c r="A8" i="3"/>
  <c r="A12" i="3"/>
  <c r="A13" i="3"/>
  <c r="A49"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5" i="3" l="1"/>
  <c r="A6" i="3" s="1"/>
  <c r="A2" i="2"/>
  <c r="A119" i="2"/>
  <c r="A118" i="2"/>
  <c r="A117" i="2"/>
  <c r="A120" i="2"/>
  <c r="A2" i="1"/>
  <c r="A3" i="1"/>
  <c r="A4" i="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135" i="2"/>
  <c r="A136" i="2"/>
  <c r="A137" i="2"/>
  <c r="A138" i="2"/>
  <c r="A139" i="2"/>
  <c r="A140" i="2"/>
  <c r="A141" i="2"/>
  <c r="A142" i="2"/>
  <c r="A121" i="2"/>
  <c r="A122" i="2"/>
  <c r="A123" i="2"/>
  <c r="A124" i="2"/>
  <c r="A125" i="2"/>
  <c r="A126" i="2"/>
  <c r="A127" i="2"/>
  <c r="A128" i="2"/>
  <c r="A129" i="2"/>
  <c r="A130" i="2"/>
  <c r="A131" i="2"/>
  <c r="A132" i="2"/>
  <c r="A133" i="2"/>
  <c r="A134" i="2"/>
  <c r="A7" i="3" l="1"/>
  <c r="A3" i="2"/>
  <c r="A4" i="2" s="1"/>
  <c r="A5" i="2" s="1"/>
  <c r="A6" i="2" l="1"/>
  <c r="A15" i="3" l="1"/>
  <c r="A16" i="3" s="1"/>
  <c r="A7" i="2"/>
  <c r="A8" i="2" s="1"/>
  <c r="A17" i="3" l="1"/>
  <c r="A9" i="2"/>
  <c r="A20" i="3" l="1"/>
  <c r="A10" i="2"/>
  <c r="A21" i="3" l="1"/>
  <c r="A22" i="3" s="1"/>
  <c r="A12" i="2"/>
  <c r="A13" i="2" s="1"/>
  <c r="A23" i="3" l="1"/>
  <c r="A24" i="3" s="1"/>
  <c r="A26" i="3" s="1"/>
  <c r="A14" i="2"/>
  <c r="A15" i="2" s="1"/>
  <c r="A17" i="2" s="1"/>
  <c r="A27" i="3" l="1"/>
  <c r="A28" i="3" s="1"/>
  <c r="A29" i="3" s="1"/>
  <c r="A32" i="3" s="1"/>
  <c r="A33" i="3" s="1"/>
  <c r="A35" i="3" s="1"/>
  <c r="A18" i="2"/>
  <c r="A19" i="2" s="1"/>
  <c r="A20" i="2" s="1"/>
  <c r="A21" i="2" s="1"/>
  <c r="A22" i="2" s="1"/>
  <c r="A23" i="2" s="1"/>
  <c r="A24" i="2" s="1"/>
  <c r="A26" i="2" s="1"/>
  <c r="A27" i="2" s="1"/>
  <c r="A28" i="2" s="1"/>
  <c r="A29" i="2" s="1"/>
  <c r="A30" i="2" s="1"/>
  <c r="A31" i="2" s="1"/>
  <c r="A32" i="2" s="1"/>
  <c r="A33" i="2" s="1"/>
  <c r="A37" i="3" l="1"/>
  <c r="A38" i="3" s="1"/>
  <c r="A41" i="3" s="1"/>
  <c r="A42" i="3" s="1"/>
  <c r="A35" i="2"/>
  <c r="A36" i="2" s="1"/>
  <c r="A44" i="3" l="1"/>
  <c r="A45" i="3" s="1"/>
  <c r="A46" i="3" s="1"/>
  <c r="A48" i="3" s="1"/>
  <c r="A51" i="3" s="1"/>
  <c r="A37" i="2"/>
  <c r="A52" i="3" l="1"/>
  <c r="A53" i="3"/>
  <c r="A38" i="2"/>
  <c r="A54" i="3" l="1"/>
  <c r="A56" i="3" s="1"/>
  <c r="A57" i="3" s="1"/>
  <c r="A58" i="3" s="1"/>
  <c r="A59" i="3" s="1"/>
  <c r="A60" i="3" s="1"/>
  <c r="A64" i="3" s="1"/>
  <c r="A39" i="2"/>
  <c r="A40" i="2" l="1"/>
  <c r="A41" i="2" l="1"/>
  <c r="A43" i="2" l="1"/>
  <c r="A44" i="2" l="1"/>
  <c r="A46" i="2" s="1"/>
  <c r="A47" i="2" s="1"/>
  <c r="A49" i="2" l="1"/>
  <c r="A51" i="2" s="1"/>
  <c r="A52" i="2" s="1"/>
  <c r="A53" i="2" l="1"/>
  <c r="A54" i="2" l="1"/>
  <c r="A55" i="2" l="1"/>
  <c r="A56" i="2" l="1"/>
  <c r="A57" i="2" l="1"/>
  <c r="A60" i="2" l="1"/>
  <c r="A62" i="2" l="1"/>
  <c r="A63" i="2" l="1"/>
  <c r="A65" i="2" l="1"/>
  <c r="A66" i="2" l="1"/>
  <c r="A67" i="2" l="1"/>
  <c r="A70" i="2" s="1"/>
  <c r="A72" i="2" s="1"/>
  <c r="A73" i="2" s="1"/>
  <c r="A74" i="2" s="1"/>
  <c r="A75" i="2" s="1"/>
  <c r="A76" i="2" s="1"/>
  <c r="A77" i="2" s="1"/>
  <c r="A78" i="2" s="1"/>
  <c r="A81" i="2" s="1"/>
  <c r="A82" i="2" s="1"/>
  <c r="A83" i="2" s="1"/>
  <c r="A84" i="2" s="1"/>
  <c r="A86" i="2" s="1"/>
  <c r="A87" i="2" s="1"/>
  <c r="A89" i="2" s="1"/>
  <c r="A90" i="2" s="1"/>
  <c r="A91" i="2" s="1"/>
  <c r="A92" i="2" s="1"/>
  <c r="A93" i="2" s="1"/>
  <c r="A94" i="2" s="1"/>
  <c r="A96" i="2" s="1"/>
  <c r="A97" i="2" s="1"/>
  <c r="A98" i="2" s="1"/>
  <c r="A99" i="2" s="1"/>
  <c r="A100" i="2" s="1"/>
  <c r="A101" i="2" s="1"/>
  <c r="A102" i="2" s="1"/>
  <c r="A103" i="2" s="1"/>
  <c r="A104" i="2" s="1"/>
  <c r="A105" i="2" s="1"/>
  <c r="A106" i="2" s="1"/>
  <c r="A108" i="2" l="1"/>
  <c r="A110" i="2" s="1"/>
  <c r="A111" i="2" s="1"/>
  <c r="A112" i="2" s="1"/>
  <c r="A113" i="2" s="1"/>
</calcChain>
</file>

<file path=xl/sharedStrings.xml><?xml version="1.0" encoding="utf-8"?>
<sst xmlns="http://schemas.openxmlformats.org/spreadsheetml/2006/main" count="474" uniqueCount="379">
  <si>
    <t>No</t>
  </si>
  <si>
    <t>単　　語</t>
  </si>
  <si>
    <t>品詞</t>
  </si>
  <si>
    <t>意　　　　　　　　　　　　　味</t>
  </si>
  <si>
    <t>用　　　　　　例　　　／　　　用　　　　　　法</t>
  </si>
  <si>
    <t>divination</t>
  </si>
  <si>
    <t>名</t>
  </si>
  <si>
    <t>占い，予言</t>
  </si>
  <si>
    <t>grave</t>
  </si>
  <si>
    <t>形</t>
  </si>
  <si>
    <t>重大な</t>
  </si>
  <si>
    <t>reap</t>
  </si>
  <si>
    <t>他</t>
  </si>
  <si>
    <t>刈り入れる，収穫する</t>
  </si>
  <si>
    <t>peasant</t>
  </si>
  <si>
    <t>自</t>
  </si>
  <si>
    <t>element</t>
  </si>
  <si>
    <t>decline</t>
  </si>
  <si>
    <t>自
名</t>
  </si>
  <si>
    <t xml:space="preserve">
a decline in the power of Europe ヨーロッパの勢力の衰微</t>
  </si>
  <si>
    <t>singularity</t>
  </si>
  <si>
    <t>1.非凡　2.風変わり，奇妙さ</t>
  </si>
  <si>
    <t>precious</t>
  </si>
  <si>
    <t>preciousness</t>
  </si>
  <si>
    <t>precious 名詞形</t>
  </si>
  <si>
    <t>proper</t>
  </si>
  <si>
    <t>He is the proper person for the work. 彼はその仕事にふさわしい人物だ
This custom is proper to the country. この習慣はこの国特有のものだ</t>
  </si>
  <si>
    <t>properly</t>
  </si>
  <si>
    <t>副</t>
  </si>
  <si>
    <t>1.適当に　2.礼儀正しく　3.正確に</t>
  </si>
  <si>
    <t>behave properly 礼儀正しくふるまう／
He speaks English properly 彼は正確に英語を話す</t>
  </si>
  <si>
    <t>make</t>
  </si>
  <si>
    <t>accompany</t>
  </si>
  <si>
    <t>composed</t>
  </si>
  <si>
    <t>The comittee is composed of five students.</t>
  </si>
  <si>
    <t>engaged</t>
  </si>
  <si>
    <t>I was engaged in it for three years.</t>
  </si>
  <si>
    <t>opposed</t>
  </si>
  <si>
    <t>The Socialist Party is opposd to it.</t>
  </si>
  <si>
    <t>rob</t>
  </si>
  <si>
    <t>An office girl was robbed of the envelope.</t>
  </si>
  <si>
    <t>accustomed</t>
  </si>
  <si>
    <t>He soon got accustomed to dormitory life. 彼はまもなく寄宿舎の生活に慣れた</t>
  </si>
  <si>
    <t>learn</t>
  </si>
  <si>
    <t>a</t>
  </si>
  <si>
    <t>ache</t>
  </si>
  <si>
    <t>痛む，うずく</t>
  </si>
  <si>
    <t>adequate</t>
  </si>
  <si>
    <t>adequately</t>
  </si>
  <si>
    <t>適切に，十分に</t>
  </si>
  <si>
    <t>b</t>
  </si>
  <si>
    <t>bewilder</t>
  </si>
  <si>
    <t>bewilderment</t>
  </si>
  <si>
    <t>c</t>
  </si>
  <si>
    <t>comprehend</t>
  </si>
  <si>
    <t>comprehensible</t>
  </si>
  <si>
    <t>理解できる，わかりよい</t>
  </si>
  <si>
    <t>d</t>
  </si>
  <si>
    <t>decent</t>
  </si>
  <si>
    <t>1.見苦しくない，きちんとした　2.かなりの，相当な
3.Ｐ【+of+(代)名+to do】親切で，寛大で</t>
  </si>
  <si>
    <t>disinterested</t>
  </si>
  <si>
    <t>dismay</t>
  </si>
  <si>
    <t>名
他</t>
  </si>
  <si>
    <t xml:space="preserve">
we were dismayed at the news.</t>
  </si>
  <si>
    <t>e</t>
  </si>
  <si>
    <t>extract</t>
  </si>
  <si>
    <t>extract a secret from a person</t>
  </si>
  <si>
    <t>f</t>
  </si>
  <si>
    <t>found</t>
  </si>
  <si>
    <t>funeral</t>
  </si>
  <si>
    <t>葬式</t>
  </si>
  <si>
    <t>g</t>
  </si>
  <si>
    <t>h</t>
  </si>
  <si>
    <t>i</t>
  </si>
  <si>
    <t>investigate</t>
  </si>
  <si>
    <t>j</t>
  </si>
  <si>
    <t>k</t>
  </si>
  <si>
    <t>l</t>
  </si>
  <si>
    <t>m</t>
  </si>
  <si>
    <t>n</t>
  </si>
  <si>
    <t>o</t>
  </si>
  <si>
    <t>p</t>
  </si>
  <si>
    <t>passive</t>
  </si>
  <si>
    <t>受身の</t>
  </si>
  <si>
    <t>penetrate</t>
  </si>
  <si>
    <t>perceptible</t>
  </si>
  <si>
    <t>q</t>
  </si>
  <si>
    <t>quit</t>
  </si>
  <si>
    <t>去る，立ち退く</t>
  </si>
  <si>
    <t>r</t>
  </si>
  <si>
    <t>respect</t>
  </si>
  <si>
    <t>s</t>
  </si>
  <si>
    <t>sensitive</t>
  </si>
  <si>
    <t>somewhat</t>
  </si>
  <si>
    <t>多少，幾分</t>
  </si>
  <si>
    <t>specimen</t>
  </si>
  <si>
    <t>見本，標本</t>
  </si>
  <si>
    <t>surpass</t>
  </si>
  <si>
    <t>t</t>
  </si>
  <si>
    <t>u</t>
  </si>
  <si>
    <t>unprecedented</t>
  </si>
  <si>
    <t>an unprecedented achievement かつてない偉業</t>
  </si>
  <si>
    <t>unsurpassed</t>
  </si>
  <si>
    <t>卓絶した，上に出るものがない，無比の</t>
  </si>
  <si>
    <t>w</t>
  </si>
  <si>
    <t>x</t>
  </si>
  <si>
    <t>y</t>
  </si>
  <si>
    <t>z</t>
  </si>
  <si>
    <t>形</t>
    <rPh sb="0" eb="1">
      <t>ケイ</t>
    </rPh>
    <phoneticPr fontId="5"/>
  </si>
  <si>
    <t>drench</t>
    <phoneticPr fontId="5"/>
  </si>
  <si>
    <t>refined</t>
    <phoneticPr fontId="5"/>
  </si>
  <si>
    <t>sound</t>
    <phoneticPr fontId="5"/>
  </si>
  <si>
    <t>afford</t>
    <phoneticPr fontId="5"/>
  </si>
  <si>
    <t>自</t>
    <rPh sb="0" eb="1">
      <t>ジ</t>
    </rPh>
    <phoneticPr fontId="5"/>
  </si>
  <si>
    <t>名</t>
    <rPh sb="0" eb="1">
      <t>メイ</t>
    </rPh>
    <phoneticPr fontId="5"/>
  </si>
  <si>
    <t>1.〔単数形で〕方法，仕方　2.〔a ～，one's ～〕態度　
3.〔複数形で〕行儀，作法　4.〔複数形で〕風俗，風習</t>
    <rPh sb="3" eb="5">
      <t>タンスウ</t>
    </rPh>
    <rPh sb="5" eb="6">
      <t>ケイ</t>
    </rPh>
    <rPh sb="8" eb="10">
      <t>ホウホウ</t>
    </rPh>
    <rPh sb="11" eb="13">
      <t>シカタ</t>
    </rPh>
    <rPh sb="29" eb="31">
      <t>タイド</t>
    </rPh>
    <rPh sb="36" eb="39">
      <t>フクスウケイ</t>
    </rPh>
    <rPh sb="41" eb="43">
      <t>ギョウギ</t>
    </rPh>
    <rPh sb="44" eb="46">
      <t>サホウ</t>
    </rPh>
    <rPh sb="50" eb="53">
      <t>フクスウケイ</t>
    </rPh>
    <rPh sb="55" eb="57">
      <t>フウゾク</t>
    </rPh>
    <rPh sb="58" eb="60">
      <t>フウシュウ</t>
    </rPh>
    <phoneticPr fontId="5"/>
  </si>
  <si>
    <t>他</t>
    <rPh sb="0" eb="1">
      <t>タ</t>
    </rPh>
    <phoneticPr fontId="5"/>
  </si>
  <si>
    <t>名
形</t>
    <rPh sb="0" eb="1">
      <t>メイ</t>
    </rPh>
    <rPh sb="2" eb="3">
      <t>ケイ</t>
    </rPh>
    <phoneticPr fontId="5"/>
  </si>
  <si>
    <t>刺激，動機，(～させる)誘因【to do】
刺激的な</t>
    <rPh sb="0" eb="2">
      <t>シゲキ</t>
    </rPh>
    <rPh sb="3" eb="5">
      <t>ドウキ</t>
    </rPh>
    <rPh sb="12" eb="14">
      <t>ユウイン</t>
    </rPh>
    <rPh sb="22" eb="25">
      <t>シゲキテキ</t>
    </rPh>
    <phoneticPr fontId="5"/>
  </si>
  <si>
    <t>(単数形で修飾語を伴って)考え方，見方</t>
    <rPh sb="1" eb="4">
      <t>タンスウケイ</t>
    </rPh>
    <rPh sb="5" eb="8">
      <t>シュウショクゴ</t>
    </rPh>
    <rPh sb="9" eb="10">
      <t>トモナ</t>
    </rPh>
    <rPh sb="13" eb="14">
      <t>カンガ</t>
    </rPh>
    <rPh sb="15" eb="16">
      <t>カタ</t>
    </rPh>
    <rPh sb="17" eb="19">
      <t>ミカタ</t>
    </rPh>
    <phoneticPr fontId="5"/>
  </si>
  <si>
    <t>a distorted perspective ゆがんだ考え方
I can't identify with his religious perspective. 
　彼の宗教観には共鳴できない</t>
    <rPh sb="28" eb="29">
      <t>カンガ</t>
    </rPh>
    <rPh sb="30" eb="31">
      <t>カタ</t>
    </rPh>
    <rPh sb="83" eb="84">
      <t>カレ</t>
    </rPh>
    <rPh sb="85" eb="88">
      <t>シュウキョウカン</t>
    </rPh>
    <rPh sb="90" eb="92">
      <t>キョウメイ</t>
    </rPh>
    <phoneticPr fontId="5"/>
  </si>
  <si>
    <t>他
自</t>
    <rPh sb="0" eb="1">
      <t>タ</t>
    </rPh>
    <rPh sb="5" eb="6">
      <t>ジ</t>
    </rPh>
    <phoneticPr fontId="5"/>
  </si>
  <si>
    <t>amount</t>
    <phoneticPr fontId="5"/>
  </si>
  <si>
    <t>The damage amounted to five million yen.</t>
    <phoneticPr fontId="5"/>
  </si>
  <si>
    <t>character</t>
    <phoneticPr fontId="5"/>
  </si>
  <si>
    <t>性格、気質
人物</t>
    <phoneticPr fontId="5"/>
  </si>
  <si>
    <t>disappointed</t>
    <phoneticPr fontId="5"/>
  </si>
  <si>
    <t>He was disappointed at not being invited.
I will try to do best so that he won't be disappointed in me.
He was very much disappointed with the result. 
I was disappointed to learn that he was away from home.
They were disappointed that you could not come.</t>
    <phoneticPr fontId="5"/>
  </si>
  <si>
    <t>identify</t>
    <phoneticPr fontId="5"/>
  </si>
  <si>
    <t>incentive</t>
    <phoneticPr fontId="5"/>
  </si>
  <si>
    <t>manner</t>
    <phoneticPr fontId="5"/>
  </si>
  <si>
    <t>perspective</t>
    <phoneticPr fontId="5"/>
  </si>
  <si>
    <t>enormous</t>
    <phoneticPr fontId="5"/>
  </si>
  <si>
    <t>巨大な、ずば抜けた</t>
    <rPh sb="0" eb="2">
      <t>キョダイ</t>
    </rPh>
    <rPh sb="6" eb="7">
      <t>ヌ</t>
    </rPh>
    <phoneticPr fontId="5"/>
  </si>
  <si>
    <t>queer</t>
    <phoneticPr fontId="5"/>
  </si>
  <si>
    <t>風変わりな、妙な</t>
    <rPh sb="0" eb="2">
      <t>フウガ</t>
    </rPh>
    <rPh sb="6" eb="7">
      <t>ミョウ</t>
    </rPh>
    <phoneticPr fontId="5"/>
  </si>
  <si>
    <t>allow</t>
    <phoneticPr fontId="5"/>
  </si>
  <si>
    <t>The money allowed him to go abroad.</t>
    <phoneticPr fontId="5"/>
  </si>
  <si>
    <t>enterprising</t>
    <phoneticPr fontId="5"/>
  </si>
  <si>
    <t>進取の気性に富んだ，起業心に富んだ，意欲的な，冒険好きな</t>
    <rPh sb="0" eb="2">
      <t>シンシュ</t>
    </rPh>
    <rPh sb="3" eb="5">
      <t>キショウ</t>
    </rPh>
    <rPh sb="6" eb="7">
      <t>ト</t>
    </rPh>
    <rPh sb="10" eb="12">
      <t>キギョウ</t>
    </rPh>
    <rPh sb="12" eb="13">
      <t>シン</t>
    </rPh>
    <rPh sb="14" eb="15">
      <t>ト</t>
    </rPh>
    <rPh sb="18" eb="21">
      <t>イヨクテキ</t>
    </rPh>
    <rPh sb="23" eb="25">
      <t>ボウケン</t>
    </rPh>
    <rPh sb="25" eb="26">
      <t>ズ</t>
    </rPh>
    <phoneticPr fontId="5"/>
  </si>
  <si>
    <t>1.支える   2.扶養する，養う
3.【+oneself】自活する，暮らす</t>
    <rPh sb="2" eb="3">
      <t>ササ</t>
    </rPh>
    <rPh sb="10" eb="12">
      <t>フヨウ</t>
    </rPh>
    <rPh sb="15" eb="16">
      <t>ヤシナ</t>
    </rPh>
    <rPh sb="30" eb="32">
      <t>ジカツ</t>
    </rPh>
    <rPh sb="35" eb="36">
      <t>ク</t>
    </rPh>
    <phoneticPr fontId="5"/>
  </si>
  <si>
    <t xml:space="preserve">
He is old enough to support himself.</t>
    <phoneticPr fontId="5"/>
  </si>
  <si>
    <t>hide</t>
    <phoneticPr fontId="5"/>
  </si>
  <si>
    <t xml:space="preserve">
The moon hid itself behind the clouds.</t>
    <phoneticPr fontId="5"/>
  </si>
  <si>
    <t>見物人，観客</t>
    <rPh sb="0" eb="2">
      <t>ケンブツ</t>
    </rPh>
    <rPh sb="2" eb="3">
      <t>ニン</t>
    </rPh>
    <rPh sb="4" eb="6">
      <t>カンキャク</t>
    </rPh>
    <phoneticPr fontId="5"/>
  </si>
  <si>
    <t>coalition</t>
    <phoneticPr fontId="5"/>
  </si>
  <si>
    <t>連立，連携</t>
    <rPh sb="0" eb="2">
      <t>レンリツ</t>
    </rPh>
    <rPh sb="3" eb="5">
      <t>レンケイ</t>
    </rPh>
    <phoneticPr fontId="5"/>
  </si>
  <si>
    <t>deputy</t>
    <phoneticPr fontId="5"/>
  </si>
  <si>
    <t>代理役，副官，補佐</t>
    <rPh sb="0" eb="2">
      <t>ダイリ</t>
    </rPh>
    <rPh sb="2" eb="3">
      <t>ヤク</t>
    </rPh>
    <rPh sb="4" eb="6">
      <t>フクカン</t>
    </rPh>
    <rPh sb="7" eb="9">
      <t>ホサ</t>
    </rPh>
    <phoneticPr fontId="5"/>
  </si>
  <si>
    <t>1.成功する  2.【+in+doing】成功する  3.【+as補語】後任となる，～の後を継ぐ
～の後を継ぐ</t>
    <rPh sb="2" eb="4">
      <t>セイコウ</t>
    </rPh>
    <rPh sb="21" eb="23">
      <t>セイコウ</t>
    </rPh>
    <rPh sb="33" eb="35">
      <t>ホゴ</t>
    </rPh>
    <rPh sb="36" eb="38">
      <t>コウニン</t>
    </rPh>
    <rPh sb="44" eb="45">
      <t>アト</t>
    </rPh>
    <rPh sb="46" eb="47">
      <t>ツ</t>
    </rPh>
    <rPh sb="52" eb="53">
      <t>アト</t>
    </rPh>
    <rPh sb="54" eb="55">
      <t>ツ</t>
    </rPh>
    <phoneticPr fontId="5"/>
  </si>
  <si>
    <t>自
他</t>
    <rPh sb="0" eb="1">
      <t>ジ</t>
    </rPh>
    <rPh sb="3" eb="4">
      <t>タ</t>
    </rPh>
    <phoneticPr fontId="5"/>
  </si>
  <si>
    <t>改造する</t>
    <rPh sb="0" eb="2">
      <t>カイゾウ</t>
    </rPh>
    <phoneticPr fontId="5"/>
  </si>
  <si>
    <t>issue</t>
    <phoneticPr fontId="5"/>
  </si>
  <si>
    <t>launch</t>
    <phoneticPr fontId="5"/>
  </si>
  <si>
    <t>1.発射する
2.始める</t>
    <rPh sb="2" eb="4">
      <t>ハッシャ</t>
    </rPh>
    <rPh sb="9" eb="10">
      <t>ハジ</t>
    </rPh>
    <phoneticPr fontId="5"/>
  </si>
  <si>
    <t>名
他</t>
    <rPh sb="0" eb="1">
      <t>メイ</t>
    </rPh>
    <rPh sb="2" eb="3">
      <t>タ</t>
    </rPh>
    <phoneticPr fontId="5"/>
  </si>
  <si>
    <t>1.重要な点，論点  2.発行
出す，刊行する</t>
    <rPh sb="2" eb="4">
      <t>ジュウヨウ</t>
    </rPh>
    <rPh sb="5" eb="6">
      <t>テン</t>
    </rPh>
    <rPh sb="7" eb="9">
      <t>ロンテン</t>
    </rPh>
    <rPh sb="13" eb="15">
      <t>ハッコウ</t>
    </rPh>
    <rPh sb="16" eb="17">
      <t>ダ</t>
    </rPh>
    <rPh sb="19" eb="21">
      <t>カンコウ</t>
    </rPh>
    <phoneticPr fontId="5"/>
  </si>
  <si>
    <t>1.【+目+todo】～に･･･にするよう促す
2.～を主張する  【+that節】</t>
    <rPh sb="4" eb="5">
      <t>モク</t>
    </rPh>
    <rPh sb="21" eb="22">
      <t>ウナガ</t>
    </rPh>
    <rPh sb="28" eb="30">
      <t>シュチョウ</t>
    </rPh>
    <rPh sb="40" eb="41">
      <t>セツ</t>
    </rPh>
    <phoneticPr fontId="5"/>
  </si>
  <si>
    <t>criticize</t>
    <phoneticPr fontId="5"/>
  </si>
  <si>
    <t>非難する</t>
    <rPh sb="0" eb="2">
      <t>ヒナン</t>
    </rPh>
    <phoneticPr fontId="5"/>
  </si>
  <si>
    <t>implement</t>
    <phoneticPr fontId="5"/>
  </si>
  <si>
    <t>他
名</t>
    <rPh sb="0" eb="1">
      <t>タ</t>
    </rPh>
    <rPh sb="2" eb="3">
      <t>メイ</t>
    </rPh>
    <phoneticPr fontId="5"/>
  </si>
  <si>
    <t>履行する，実行する ( = carry out)
道具</t>
    <rPh sb="0" eb="2">
      <t>リコウ</t>
    </rPh>
    <rPh sb="5" eb="7">
      <t>ジッコウ</t>
    </rPh>
    <rPh sb="25" eb="27">
      <t>ドウグ</t>
    </rPh>
    <phoneticPr fontId="5"/>
  </si>
  <si>
    <t>explode</t>
    <phoneticPr fontId="5"/>
  </si>
  <si>
    <t>commit</t>
    <phoneticPr fontId="5"/>
  </si>
  <si>
    <t>inflict</t>
    <phoneticPr fontId="5"/>
  </si>
  <si>
    <t>protest</t>
    <phoneticPr fontId="5"/>
  </si>
  <si>
    <t>抗議，異議</t>
    <rPh sb="0" eb="2">
      <t>コウギ</t>
    </rPh>
    <rPh sb="3" eb="5">
      <t>イギ</t>
    </rPh>
    <phoneticPr fontId="5"/>
  </si>
  <si>
    <t>condemn</t>
    <phoneticPr fontId="5"/>
  </si>
  <si>
    <t>His friends condemned him for his indiscretion. 彼の友達は彼の無分別を非難した
He was condemned to death. 彼は死刑を宣告された</t>
    <rPh sb="48" eb="49">
      <t>カレ</t>
    </rPh>
    <rPh sb="50" eb="52">
      <t>トモダチ</t>
    </rPh>
    <rPh sb="53" eb="54">
      <t>カレ</t>
    </rPh>
    <rPh sb="55" eb="58">
      <t>ムフンベツ</t>
    </rPh>
    <rPh sb="59" eb="61">
      <t>ヒナン</t>
    </rPh>
    <rPh sb="91" eb="92">
      <t>カレ</t>
    </rPh>
    <rPh sb="93" eb="95">
      <t>シケイ</t>
    </rPh>
    <rPh sb="96" eb="98">
      <t>センコク</t>
    </rPh>
    <phoneticPr fontId="5"/>
  </si>
  <si>
    <t>reconcile</t>
    <phoneticPr fontId="5"/>
  </si>
  <si>
    <t>行列，行進</t>
    <rPh sb="0" eb="2">
      <t>ギョウレツ</t>
    </rPh>
    <rPh sb="3" eb="5">
      <t>コウシン</t>
    </rPh>
    <phoneticPr fontId="5"/>
  </si>
  <si>
    <t>measles</t>
    <phoneticPr fontId="5"/>
  </si>
  <si>
    <t>はしか〔単数扱い〕</t>
    <rPh sb="4" eb="6">
      <t>タンスウ</t>
    </rPh>
    <rPh sb="6" eb="7">
      <t>アツカイ</t>
    </rPh>
    <phoneticPr fontId="5"/>
  </si>
  <si>
    <t>drown</t>
    <phoneticPr fontId="5"/>
  </si>
  <si>
    <t>～を溺れさせる，【+ oneself】溺死する</t>
    <rPh sb="2" eb="3">
      <t>オボ</t>
    </rPh>
    <rPh sb="19" eb="21">
      <t>デキシ</t>
    </rPh>
    <phoneticPr fontId="5"/>
  </si>
  <si>
    <t>blame</t>
    <phoneticPr fontId="5"/>
  </si>
  <si>
    <t>remain</t>
    <phoneticPr fontId="5"/>
  </si>
  <si>
    <t>It is a pity that a man of your ability should remain unknown to the world.
あなたほどの才能の持ち主が世間に知られずにいるのは惜しいことです</t>
    <rPh sb="82" eb="84">
      <t>サイノウ</t>
    </rPh>
    <rPh sb="85" eb="86">
      <t>モ</t>
    </rPh>
    <rPh sb="87" eb="88">
      <t>ヌシ</t>
    </rPh>
    <rPh sb="89" eb="91">
      <t>セケン</t>
    </rPh>
    <rPh sb="92" eb="93">
      <t>シ</t>
    </rPh>
    <rPh sb="101" eb="102">
      <t>オ</t>
    </rPh>
    <phoneticPr fontId="5"/>
  </si>
  <si>
    <t>keep</t>
    <phoneticPr fontId="5"/>
  </si>
  <si>
    <t>Keep quiet!  静かにしていなさい
Keep off the grass.  芝生に入らないで下さい
She kept walking about the room.  彼女は部屋の中を歩きまわっていた</t>
    <rPh sb="13" eb="14">
      <t>シズ</t>
    </rPh>
    <rPh sb="44" eb="46">
      <t>シバフ</t>
    </rPh>
    <rPh sb="47" eb="48">
      <t>ハイ</t>
    </rPh>
    <rPh sb="52" eb="53">
      <t>クダ</t>
    </rPh>
    <rPh sb="90" eb="92">
      <t>カノジョ</t>
    </rPh>
    <rPh sb="93" eb="95">
      <t>ヘヤ</t>
    </rPh>
    <rPh sb="96" eb="97">
      <t>ナカ</t>
    </rPh>
    <rPh sb="98" eb="99">
      <t>アル</t>
    </rPh>
    <phoneticPr fontId="5"/>
  </si>
  <si>
    <t>～をかくまう，～を保護する</t>
    <rPh sb="9" eb="11">
      <t>ホゴ</t>
    </rPh>
    <phoneticPr fontId="5"/>
  </si>
  <si>
    <t>前</t>
    <rPh sb="0" eb="1">
      <t>ゼン</t>
    </rPh>
    <phoneticPr fontId="5"/>
  </si>
  <si>
    <t>1.～と違って，～と似ていない
2.～らしくない</t>
    <rPh sb="4" eb="5">
      <t>チガ</t>
    </rPh>
    <rPh sb="10" eb="11">
      <t>ニ</t>
    </rPh>
    <phoneticPr fontId="5"/>
  </si>
  <si>
    <t xml:space="preserve">
It is unlile him to say such a thing.  そんなことを言うなんて彼らしくない</t>
    <rPh sb="46" eb="47">
      <t>イ</t>
    </rPh>
    <rPh sb="51" eb="52">
      <t>カレ</t>
    </rPh>
    <phoneticPr fontId="5"/>
  </si>
  <si>
    <t>№</t>
    <phoneticPr fontId="5"/>
  </si>
  <si>
    <t>shelter</t>
    <phoneticPr fontId="5"/>
  </si>
  <si>
    <t>spectator</t>
    <phoneticPr fontId="5"/>
  </si>
  <si>
    <t>succeed</t>
    <phoneticPr fontId="5"/>
  </si>
  <si>
    <t>support</t>
    <phoneticPr fontId="5"/>
  </si>
  <si>
    <t>unlike</t>
    <phoneticPr fontId="5"/>
  </si>
  <si>
    <t>urge</t>
    <phoneticPr fontId="5"/>
  </si>
  <si>
    <t>意　　　　　　　　　　　　　味</t>
    <phoneticPr fontId="5"/>
  </si>
  <si>
    <t>用　　　　例　　／　　用　　　　法</t>
    <phoneticPr fontId="5"/>
  </si>
  <si>
    <t>v</t>
    <phoneticPr fontId="5"/>
  </si>
  <si>
    <t>v</t>
  </si>
  <si>
    <t>A car is convenient,to be sure,but,after all,it will prove expensive.
確かに車は便利だが、結局、高いものにつく</t>
    <rPh sb="70" eb="71">
      <t>タシ</t>
    </rPh>
    <rPh sb="73" eb="74">
      <t>クルマ</t>
    </rPh>
    <rPh sb="75" eb="77">
      <t>ベンリ</t>
    </rPh>
    <rPh sb="80" eb="82">
      <t>ケッキョク</t>
    </rPh>
    <rPh sb="83" eb="84">
      <t>タカ</t>
    </rPh>
    <phoneticPr fontId="5"/>
  </si>
  <si>
    <t>to be sure</t>
    <phoneticPr fontId="5"/>
  </si>
  <si>
    <t>He made up his mind then and there.</t>
  </si>
  <si>
    <t>then and there</t>
  </si>
  <si>
    <t>Hundreds of thousands of Tigers fans took to the streets in Osaka in celebration.
(何十万人の阪神ファンが祝って大阪の街にくりだした)</t>
    <rPh sb="83" eb="87">
      <t>ナンジュウマンニン</t>
    </rPh>
    <rPh sb="88" eb="90">
      <t>ハンシン</t>
    </rPh>
    <rPh sb="94" eb="95">
      <t>イワ</t>
    </rPh>
    <rPh sb="97" eb="99">
      <t>オオサカ</t>
    </rPh>
    <rPh sb="100" eb="101">
      <t>マチ</t>
    </rPh>
    <phoneticPr fontId="5"/>
  </si>
  <si>
    <t>～へ行く</t>
    <rPh sb="2" eb="3">
      <t>イ</t>
    </rPh>
    <phoneticPr fontId="5"/>
  </si>
  <si>
    <t>take to</t>
    <phoneticPr fontId="5"/>
  </si>
  <si>
    <t>わざわざ～をする</t>
  </si>
  <si>
    <t>take the trouble to</t>
  </si>
  <si>
    <t>As I was taking leave of my friend, he said he would be glad to see me again before long.
私が友人に別れを告げると、彼は近いうちにまた合いたいと言った</t>
    <rPh sb="90" eb="91">
      <t>ワタシ</t>
    </rPh>
    <rPh sb="92" eb="94">
      <t>ユウジン</t>
    </rPh>
    <rPh sb="95" eb="96">
      <t>ワカ</t>
    </rPh>
    <rPh sb="98" eb="99">
      <t>ツ</t>
    </rPh>
    <rPh sb="103" eb="104">
      <t>カレ</t>
    </rPh>
    <rPh sb="105" eb="106">
      <t>チカ</t>
    </rPh>
    <rPh sb="112" eb="113">
      <t>ア</t>
    </rPh>
    <rPh sb="117" eb="118">
      <t>イ</t>
    </rPh>
    <phoneticPr fontId="5"/>
  </si>
  <si>
    <t>～に別れを告げる</t>
    <rPh sb="2" eb="3">
      <t>ワカ</t>
    </rPh>
    <rPh sb="5" eb="6">
      <t>ツ</t>
    </rPh>
    <phoneticPr fontId="5"/>
  </si>
  <si>
    <t>take leave of</t>
    <phoneticPr fontId="5"/>
  </si>
  <si>
    <t>～もまた</t>
    <phoneticPr fontId="5"/>
  </si>
  <si>
    <t>so Ｖ+Ｓ</t>
    <phoneticPr fontId="5"/>
  </si>
  <si>
    <t xml:space="preserve">"You must go to bed now." 'So I must, and so must you." </t>
    <phoneticPr fontId="5"/>
  </si>
  <si>
    <t>まさに，いかにも</t>
    <phoneticPr fontId="5"/>
  </si>
  <si>
    <t>so Ｓ+Ｖ</t>
    <phoneticPr fontId="5"/>
  </si>
  <si>
    <t xml:space="preserve">so as not to </t>
    <phoneticPr fontId="5"/>
  </si>
  <si>
    <t xml:space="preserve">so as to </t>
    <phoneticPr fontId="5"/>
  </si>
  <si>
    <t>quite a few</t>
    <phoneticPr fontId="5"/>
  </si>
  <si>
    <t>I can't put up with this nonsense any longer.  もうこんなばかげたことは我慢できない</t>
    <rPh sb="59" eb="61">
      <t>ガマン</t>
    </rPh>
    <phoneticPr fontId="5"/>
  </si>
  <si>
    <t>我慢する，耐える (tolerate)</t>
    <rPh sb="0" eb="2">
      <t>ガマン</t>
    </rPh>
    <rPh sb="5" eb="6">
      <t>タ</t>
    </rPh>
    <phoneticPr fontId="5"/>
  </si>
  <si>
    <t>put up with</t>
    <phoneticPr fontId="5"/>
  </si>
  <si>
    <t>～を選りすぐる。 えり好みする。</t>
    <rPh sb="2" eb="3">
      <t>ヨ</t>
    </rPh>
    <rPh sb="11" eb="12">
      <t>ゴノ</t>
    </rPh>
    <phoneticPr fontId="5"/>
  </si>
  <si>
    <t>pick and choose</t>
    <phoneticPr fontId="5"/>
  </si>
  <si>
    <t>～して始めて，～する場合に限って</t>
    <rPh sb="3" eb="4">
      <t>ハジ</t>
    </rPh>
    <rPh sb="10" eb="12">
      <t>バアイ</t>
    </rPh>
    <rPh sb="13" eb="14">
      <t>カギ</t>
    </rPh>
    <phoneticPr fontId="5"/>
  </si>
  <si>
    <t>only if</t>
    <phoneticPr fontId="5"/>
  </si>
  <si>
    <r>
      <t xml:space="preserve">
His sentences make no sense </t>
    </r>
    <r>
      <rPr>
        <sz val="9"/>
        <color indexed="10"/>
        <rFont val="ＭＳ 明朝"/>
        <family val="1"/>
        <charset val="128"/>
      </rPr>
      <t>to</t>
    </r>
    <r>
      <rPr>
        <sz val="9"/>
        <rFont val="ＭＳ 明朝"/>
        <family val="1"/>
        <charset val="128"/>
      </rPr>
      <t xml:space="preserve"> me.  彼の文章は私には理解しがたい
Can you make sense </t>
    </r>
    <r>
      <rPr>
        <sz val="9"/>
        <color indexed="10"/>
        <rFont val="ＭＳ 明朝"/>
        <family val="1"/>
        <charset val="128"/>
      </rPr>
      <t>of</t>
    </r>
    <r>
      <rPr>
        <sz val="9"/>
        <rFont val="ＭＳ 明朝"/>
        <family val="1"/>
        <charset val="128"/>
      </rPr>
      <t xml:space="preserve"> what he says ?  彼の言うことがわかりますか？
His excuse for being late made no sense at all.  彼の遅刻の弁解は筋が通らなかった
It makes sense to stop smoking.  タバコはやめた方がよい</t>
    </r>
    <rPh sb="38" eb="39">
      <t>カレ</t>
    </rPh>
    <rPh sb="40" eb="42">
      <t>ブンショウ</t>
    </rPh>
    <rPh sb="43" eb="44">
      <t>ワタシ</t>
    </rPh>
    <rPh sb="46" eb="48">
      <t>リカイ</t>
    </rPh>
    <rPh sb="91" eb="92">
      <t>カレ</t>
    </rPh>
    <rPh sb="93" eb="94">
      <t>イ</t>
    </rPh>
    <rPh sb="155" eb="156">
      <t>カレ</t>
    </rPh>
    <rPh sb="157" eb="159">
      <t>チコク</t>
    </rPh>
    <rPh sb="160" eb="162">
      <t>ベンカイ</t>
    </rPh>
    <rPh sb="163" eb="164">
      <t>スジ</t>
    </rPh>
    <rPh sb="165" eb="166">
      <t>トオ</t>
    </rPh>
    <rPh sb="212" eb="213">
      <t>ホウ</t>
    </rPh>
    <phoneticPr fontId="5"/>
  </si>
  <si>
    <t>(…) no, any, more, perfect, good, some, much, little
      などを伴う
理解しやすい
筋が通る
賢明である</t>
    <rPh sb="62" eb="63">
      <t>トモナ</t>
    </rPh>
    <rPh sb="65" eb="67">
      <t>リカイ</t>
    </rPh>
    <rPh sb="73" eb="74">
      <t>スジ</t>
    </rPh>
    <rPh sb="75" eb="76">
      <t>トオ</t>
    </rPh>
    <rPh sb="78" eb="80">
      <t>ケンメイ</t>
    </rPh>
    <phoneticPr fontId="5"/>
  </si>
  <si>
    <t>make (…) sense</t>
    <phoneticPr fontId="5"/>
  </si>
  <si>
    <t>A を調べる</t>
    <rPh sb="3" eb="4">
      <t>シラ</t>
    </rPh>
    <phoneticPr fontId="5"/>
  </si>
  <si>
    <t>keep good time</t>
    <phoneticPr fontId="5"/>
  </si>
  <si>
    <t>目を光らす</t>
  </si>
  <si>
    <t>keep before one's eyes</t>
  </si>
  <si>
    <t>in terms of what children actually do 実際に子どもたちが何をするかという点では</t>
    <rPh sb="38" eb="40">
      <t>ジッサイ</t>
    </rPh>
    <rPh sb="41" eb="42">
      <t>コ</t>
    </rPh>
    <rPh sb="47" eb="48">
      <t>ナニ</t>
    </rPh>
    <rPh sb="55" eb="56">
      <t>テン</t>
    </rPh>
    <phoneticPr fontId="5"/>
  </si>
  <si>
    <t>～の観点から</t>
    <rPh sb="2" eb="4">
      <t>カンテン</t>
    </rPh>
    <phoneticPr fontId="5"/>
  </si>
  <si>
    <t xml:space="preserve">in terms of </t>
    <phoneticPr fontId="5"/>
  </si>
  <si>
    <t>～に敬意を表して，～を祝して</t>
    <rPh sb="2" eb="4">
      <t>ケイイ</t>
    </rPh>
    <rPh sb="5" eb="6">
      <t>ヒョウ</t>
    </rPh>
    <rPh sb="11" eb="12">
      <t>シュク</t>
    </rPh>
    <phoneticPr fontId="5"/>
  </si>
  <si>
    <t>in honor of</t>
    <phoneticPr fontId="5"/>
  </si>
  <si>
    <t>～を預かって，～担当の</t>
    <rPh sb="2" eb="3">
      <t>アズ</t>
    </rPh>
    <rPh sb="8" eb="10">
      <t>タントウ</t>
    </rPh>
    <phoneticPr fontId="5"/>
  </si>
  <si>
    <t>in charge of</t>
    <phoneticPr fontId="5"/>
  </si>
  <si>
    <t>～さえしていれば
ただ～だけとしても</t>
    <phoneticPr fontId="5"/>
  </si>
  <si>
    <t>if only</t>
    <phoneticPr fontId="5"/>
  </si>
  <si>
    <t>～とほとんど関係がない</t>
    <rPh sb="6" eb="7">
      <t>セキ</t>
    </rPh>
    <rPh sb="7" eb="8">
      <t>ガカリ</t>
    </rPh>
    <phoneticPr fontId="5"/>
  </si>
  <si>
    <t>have little to do with</t>
    <phoneticPr fontId="5"/>
  </si>
  <si>
    <t>～と少し関係がある</t>
    <rPh sb="2" eb="3">
      <t>スコ</t>
    </rPh>
    <rPh sb="4" eb="6">
      <t>カンケイ</t>
    </rPh>
    <phoneticPr fontId="5"/>
  </si>
  <si>
    <t>have something to do with</t>
    <phoneticPr fontId="5"/>
  </si>
  <si>
    <t>～と全然関係ない</t>
    <rPh sb="2" eb="4">
      <t>ゼンゼン</t>
    </rPh>
    <rPh sb="4" eb="6">
      <t>カンケイ</t>
    </rPh>
    <phoneticPr fontId="5"/>
  </si>
  <si>
    <t>have nothing to do with</t>
    <phoneticPr fontId="5"/>
  </si>
  <si>
    <t>hang around [ about , round ]</t>
    <phoneticPr fontId="5"/>
  </si>
  <si>
    <t>～のために，～のためを思って</t>
  </si>
  <si>
    <t>for the good of</t>
  </si>
  <si>
    <t>for instance</t>
  </si>
  <si>
    <t>まるで…であるかのように (＝ as if )</t>
    <phoneticPr fontId="5"/>
  </si>
  <si>
    <t>as though</t>
    <phoneticPr fontId="5"/>
  </si>
  <si>
    <t>As of July 1st, 80 were still alive. ７月１日の時点で、８０人がまだ生きていた
The price is effective as of next Monday. この価格は来週月曜日から適用される</t>
    <rPh sb="38" eb="39">
      <t>ガツ</t>
    </rPh>
    <rPh sb="40" eb="41">
      <t>ニチ</t>
    </rPh>
    <rPh sb="42" eb="44">
      <t>ジテン</t>
    </rPh>
    <rPh sb="48" eb="49">
      <t>ニン</t>
    </rPh>
    <rPh sb="52" eb="53">
      <t>イ</t>
    </rPh>
    <rPh sb="102" eb="104">
      <t>カカク</t>
    </rPh>
    <rPh sb="105" eb="107">
      <t>ライシュウ</t>
    </rPh>
    <rPh sb="107" eb="110">
      <t>ゲツヨウビ</t>
    </rPh>
    <rPh sb="112" eb="114">
      <t>テキヨウ</t>
    </rPh>
    <phoneticPr fontId="5"/>
  </si>
  <si>
    <t>as of</t>
    <phoneticPr fontId="5"/>
  </si>
  <si>
    <t>a man of</t>
    <phoneticPr fontId="5"/>
  </si>
  <si>
    <t>昨年の今頃</t>
    <rPh sb="0" eb="2">
      <t>サクネン</t>
    </rPh>
    <rPh sb="3" eb="5">
      <t>イマゴロ</t>
    </rPh>
    <phoneticPr fontId="5"/>
  </si>
  <si>
    <t>about this time last year</t>
    <phoneticPr fontId="5"/>
  </si>
  <si>
    <t>用　　　　　　　　　法</t>
    <phoneticPr fontId="5"/>
  </si>
  <si>
    <t>意　　　　　　　味</t>
  </si>
  <si>
    <t>熟　　　 語</t>
    <phoneticPr fontId="5"/>
  </si>
  <si>
    <t>back burner</t>
    <phoneticPr fontId="5"/>
  </si>
  <si>
    <t>名</t>
    <rPh sb="0" eb="1">
      <t>メイ</t>
    </rPh>
    <phoneticPr fontId="5"/>
  </si>
  <si>
    <t>後回し，二の次</t>
    <rPh sb="0" eb="2">
      <t>アトマワ</t>
    </rPh>
    <rPh sb="4" eb="5">
      <t>ニ</t>
    </rPh>
    <rPh sb="6" eb="7">
      <t>ツギ</t>
    </rPh>
    <phoneticPr fontId="5"/>
  </si>
  <si>
    <t>supposed</t>
    <phoneticPr fontId="5"/>
  </si>
  <si>
    <t>形</t>
    <rPh sb="0" eb="1">
      <t>ケイ</t>
    </rPh>
    <phoneticPr fontId="5"/>
  </si>
  <si>
    <t>figure out</t>
    <phoneticPr fontId="5"/>
  </si>
  <si>
    <t>[他＋副] 1. ～を理解する
　　　　 2. ～を解決する
         3. ～を計算する</t>
    <rPh sb="1" eb="2">
      <t>タ</t>
    </rPh>
    <rPh sb="3" eb="4">
      <t>フク</t>
    </rPh>
    <rPh sb="26" eb="28">
      <t>カイケツ</t>
    </rPh>
    <rPh sb="45" eb="47">
      <t>ケイサン</t>
    </rPh>
    <phoneticPr fontId="5"/>
  </si>
  <si>
    <t>procrastinate</t>
    <phoneticPr fontId="5"/>
  </si>
  <si>
    <t>自</t>
    <rPh sb="0" eb="1">
      <t>ジ</t>
    </rPh>
    <phoneticPr fontId="5"/>
  </si>
  <si>
    <t>ぐずぐずする，(後まで)延ばす</t>
    <phoneticPr fontId="5"/>
  </si>
  <si>
    <t>procession</t>
    <phoneticPr fontId="5"/>
  </si>
  <si>
    <t>1.敬意，尊敬【for】 2.注意，関心【for】 3.【in･･･】点，箇所
尊敬する【+目+for+(代)名】【+目+as+(代)名】</t>
    <phoneticPr fontId="5"/>
  </si>
  <si>
    <t>screw</t>
    <phoneticPr fontId="5"/>
  </si>
  <si>
    <t>他</t>
    <phoneticPr fontId="5"/>
  </si>
  <si>
    <t>reshuffle</t>
    <phoneticPr fontId="5"/>
  </si>
  <si>
    <t>well off</t>
    <phoneticPr fontId="5"/>
  </si>
  <si>
    <t>[形]うまくいっていて，順境にあって
《叙述的用法の形容詞》</t>
    <rPh sb="1" eb="2">
      <t>ケイ</t>
    </rPh>
    <phoneticPr fontId="5"/>
  </si>
  <si>
    <t xml:space="preserve">as in </t>
    <phoneticPr fontId="5"/>
  </si>
  <si>
    <t>～などで，～などの場合，～にあるような</t>
    <phoneticPr fontId="5"/>
  </si>
  <si>
    <t>amazing</t>
    <phoneticPr fontId="5"/>
  </si>
  <si>
    <t>驚くべき，素晴らしい，素敵な</t>
    <rPh sb="0" eb="1">
      <t>オドロ</t>
    </rPh>
    <rPh sb="5" eb="7">
      <t>スバ</t>
    </rPh>
    <rPh sb="11" eb="13">
      <t>ステキ</t>
    </rPh>
    <phoneticPr fontId="5"/>
  </si>
  <si>
    <t xml:space="preserve">make gains </t>
    <phoneticPr fontId="5"/>
  </si>
  <si>
    <t>eager</t>
    <phoneticPr fontId="5"/>
  </si>
  <si>
    <t>Ｐ【+前+(代)名】(～に)従事して【in】</t>
    <phoneticPr fontId="5"/>
  </si>
  <si>
    <t>1.(～に)同行する
2.【+目+with+(代)名】(～に)～を伴わせる，添える</t>
  </si>
  <si>
    <t>Ｐ【+to+(代)名】(～に)慣れて</t>
  </si>
  <si>
    <t>1.足りる，十分な　2.Ｐ【+to do】(～するのに)十分で
3.Ｐ【+前+(代)名】(～に)適切で，適当で</t>
  </si>
  <si>
    <t>【+to+(代)名】総計(いくらに)達する，なる</t>
    <rPh sb="6" eb="7">
      <t>ダイ</t>
    </rPh>
    <rPh sb="8" eb="9">
      <t>メイ</t>
    </rPh>
    <rPh sb="10" eb="12">
      <t>ソウケイ</t>
    </rPh>
    <rPh sb="18" eb="19">
      <t>タッ</t>
    </rPh>
    <phoneticPr fontId="5"/>
  </si>
  <si>
    <t>1.(罪を)犯す
2.(金，時間，労力を)当てる，充当する
3.(～oneself)引き受ける，傾倒する，打ち込む
4.～に委ねる，任す  (～oneself) 身を任す</t>
    <rPh sb="3" eb="4">
      <t>ツミ</t>
    </rPh>
    <rPh sb="6" eb="7">
      <t>オカ</t>
    </rPh>
    <rPh sb="12" eb="13">
      <t>カネ</t>
    </rPh>
    <rPh sb="14" eb="16">
      <t>ジカン</t>
    </rPh>
    <rPh sb="17" eb="19">
      <t>ロウリョク</t>
    </rPh>
    <rPh sb="21" eb="22">
      <t>ア</t>
    </rPh>
    <rPh sb="25" eb="27">
      <t>ジュウトウ</t>
    </rPh>
    <rPh sb="42" eb="43">
      <t>ヒ</t>
    </rPh>
    <rPh sb="44" eb="45">
      <t>ウ</t>
    </rPh>
    <rPh sb="48" eb="50">
      <t>ケイトウ</t>
    </rPh>
    <rPh sb="53" eb="54">
      <t>ウ</t>
    </rPh>
    <rPh sb="55" eb="56">
      <t>コ</t>
    </rPh>
    <rPh sb="64" eb="65">
      <t>ユダ</t>
    </rPh>
    <rPh sb="68" eb="69">
      <t>マカ</t>
    </rPh>
    <rPh sb="83" eb="84">
      <t>ミ</t>
    </rPh>
    <rPh sb="85" eb="86">
      <t>マカ</t>
    </rPh>
    <phoneticPr fontId="5"/>
  </si>
  <si>
    <t>Ｐ(～から)成り立って，構成されて【of】＝be made up of</t>
  </si>
  <si>
    <t>(～を)理解する,【+ that】【+ wh.】</t>
  </si>
  <si>
    <t>1.非難する
2.(人に)刑を宣言する《通常受身で》</t>
    <rPh sb="2" eb="4">
      <t>ヒナン</t>
    </rPh>
    <rPh sb="10" eb="11">
      <t>ヒト</t>
    </rPh>
    <rPh sb="13" eb="14">
      <t>ケイ</t>
    </rPh>
    <rPh sb="15" eb="17">
      <t>センゲン</t>
    </rPh>
    <rPh sb="20" eb="22">
      <t>ツウジョウ</t>
    </rPh>
    <rPh sb="22" eb="24">
      <t>ウケミ</t>
    </rPh>
    <phoneticPr fontId="5"/>
  </si>
  <si>
    <t>1.Ｐ(～に)がっかりして，失望して【at, in, with, about】
2.【+to do】(～して)がっかりして，失望して
3.【+ that】(～ということに)がっかりして，失望して</t>
    <rPh sb="14" eb="16">
      <t>シツボウ</t>
    </rPh>
    <rPh sb="62" eb="64">
      <t>シツボウ</t>
    </rPh>
    <rPh sb="93" eb="95">
      <t>シツボウ</t>
    </rPh>
    <phoneticPr fontId="5"/>
  </si>
  <si>
    <t>1.私心のない，公平な　2.Ｐ(～に)興味が無くて，無関心で</t>
  </si>
  <si>
    <t>1.要素，成分　2.【the ～s】自然力，(特に)暴風雨</t>
  </si>
  <si>
    <t>1.爆発する
2.(感情を)爆発させる
3.突然～になる  急に～する</t>
    <rPh sb="2" eb="4">
      <t>バクハツ</t>
    </rPh>
    <rPh sb="10" eb="12">
      <t>カンジョウ</t>
    </rPh>
    <rPh sb="14" eb="16">
      <t>バクハツ</t>
    </rPh>
    <rPh sb="23" eb="25">
      <t>トツゼン</t>
    </rPh>
    <rPh sb="31" eb="32">
      <t>キュウ</t>
    </rPh>
    <phoneticPr fontId="5"/>
  </si>
  <si>
    <t>1.(～を)創設する　2.【+目+前+(代)名】(～に)基づいて(～を)作る</t>
  </si>
  <si>
    <t>1.(～を)隠す
2.【+oneself】隠れる</t>
    <rPh sb="6" eb="7">
      <t>カク</t>
    </rPh>
    <rPh sb="21" eb="22">
      <t>カク</t>
    </rPh>
    <phoneticPr fontId="5"/>
  </si>
  <si>
    <t>1.加える  2.(罰を)課する，与える</t>
    <rPh sb="2" eb="3">
      <t>クワ</t>
    </rPh>
    <rPh sb="10" eb="11">
      <t>バツ</t>
    </rPh>
    <rPh sb="13" eb="14">
      <t>カ</t>
    </rPh>
    <rPh sb="17" eb="18">
      <t>アタ</t>
    </rPh>
    <phoneticPr fontId="5"/>
  </si>
  <si>
    <t>(～を)調査する</t>
  </si>
  <si>
    <t>1.【+ 形】 ～のままでいる
2.【+ 副】 (一定の)状態を保つ
3.【+ doing】 ～し続ける，～してばかりいる</t>
    <rPh sb="5" eb="6">
      <t>ケイ</t>
    </rPh>
    <rPh sb="21" eb="22">
      <t>フク</t>
    </rPh>
    <rPh sb="25" eb="27">
      <t>イッテイ</t>
    </rPh>
    <rPh sb="29" eb="31">
      <t>ジョウタイ</t>
    </rPh>
    <rPh sb="32" eb="33">
      <t>タモ</t>
    </rPh>
    <rPh sb="49" eb="50">
      <t>ツヅ</t>
    </rPh>
    <phoneticPr fontId="5"/>
  </si>
  <si>
    <t>【+目+from+(代)名】【(+from+(代)名)+ that】
(～から)(～ということを聞いて)知る</t>
  </si>
  <si>
    <t>1.【+目+補】【+目+of+(代)名】(～を)～にする
2.【+目+過分】(～を)～させる，～してもらう
3.【+目+原形】(～に)～させる</t>
  </si>
  <si>
    <t>Ｐ(～に)反対で【to】</t>
  </si>
  <si>
    <t>小百姓，(farmer 農業経営者)</t>
  </si>
  <si>
    <t>浸透する，(～に)通る</t>
  </si>
  <si>
    <t>知覚(認知)できる</t>
  </si>
  <si>
    <t>1.貴重な，高価な　2.(時間・経験など)大切な，尊い</t>
  </si>
  <si>
    <t>1.適切な，ふさわしい【+for+(代)名】　2.礼儀正しい，上品な
3.【+to+(代)名】(～に)固有で，特有で</t>
  </si>
  <si>
    <t>【+目+of+(代)名】(人から)(物を)強奪する，奪う</t>
  </si>
  <si>
    <t>【+目的語+up】
《口語》(ことを)やりそこなう，台なしにする
《★しばしば受身で用いる》</t>
  </si>
  <si>
    <t>1.敏感な，感じやすい　2.【+to+名】(～に)敏感で</t>
  </si>
  <si>
    <t>(～する)ことになっていて 【to do】《叙述的用法の形容詞》</t>
  </si>
  <si>
    <t>1.上回る，越える　2.(～を)まさる，(～を)しのぐ【in at】</t>
  </si>
  <si>
    <t>先例(前例)のない，空前の</t>
  </si>
  <si>
    <t>(当てもなく)ぶらつく。うろうろする。</t>
    <rPh sb="1" eb="2">
      <t>ア</t>
    </rPh>
    <phoneticPr fontId="5"/>
  </si>
  <si>
    <t>～な(特徴のある)人，～である人</t>
    <rPh sb="3" eb="5">
      <t>トクチョウ</t>
    </rPh>
    <rPh sb="9" eb="10">
      <t>ジン</t>
    </rPh>
    <rPh sb="15" eb="16">
      <t>リ</t>
    </rPh>
    <phoneticPr fontId="5"/>
  </si>
  <si>
    <t>(何日)現在の，時点の</t>
    <rPh sb="8" eb="10">
      <t>ジテン</t>
    </rPh>
    <phoneticPr fontId="5"/>
  </si>
  <si>
    <t>例えば (for example)</t>
    <rPh sb="0" eb="1">
      <t>タト</t>
    </rPh>
    <phoneticPr fontId="5"/>
  </si>
  <si>
    <t>If only I knew, I would tell you all that I knew. (知ってさえいれば)
The fact is, I have heard nothing about it. 
We must respect him if only for his honesty.(正直であることからだけでも</t>
    <rPh sb="51" eb="52">
      <t>シ</t>
    </rPh>
    <rPh sb="151" eb="153">
      <t>ショウジキ</t>
    </rPh>
    <phoneticPr fontId="5"/>
  </si>
  <si>
    <t>(時計が)正確だ，(人が)時間を守る</t>
    <rPh sb="1" eb="3">
      <t>トケイ</t>
    </rPh>
    <rPh sb="5" eb="7">
      <t>セイカク</t>
    </rPh>
    <rPh sb="10" eb="11">
      <t>ヒト</t>
    </rPh>
    <rPh sb="13" eb="15">
      <t>ジカン</t>
    </rPh>
    <rPh sb="16" eb="17">
      <t>マモ</t>
    </rPh>
    <phoneticPr fontId="5"/>
  </si>
  <si>
    <t>進歩する，(状況が)良くなる</t>
  </si>
  <si>
    <t>Only if a foreigner has read much English poetry 
  can he understand Shakespere.(倒置)</t>
    <rPh sb="82" eb="84">
      <t>トウチ</t>
    </rPh>
    <phoneticPr fontId="5"/>
  </si>
  <si>
    <t>［+ of］ かなり多数
(i.e) a few は「少ないながらも存在する」→「多少は存在する」
       そして、「多少」がかなり集まれば「かなりの数」になる</t>
  </si>
  <si>
    <t>(口語)その場で，直ちに</t>
  </si>
  <si>
    <t>(butで受ける) 確かに，なるほど (～であるが、しかし)</t>
    <rPh sb="5" eb="6">
      <t>ウ</t>
    </rPh>
    <rPh sb="10" eb="11">
      <t>タシ</t>
    </rPh>
    <phoneticPr fontId="5"/>
  </si>
  <si>
    <t>当惑させる，うろたえさせる《しばしば受け身で》当惑する，うろたえる</t>
    <phoneticPr fontId="5"/>
  </si>
  <si>
    <t>ろうばい，うろたえ
うろたえさせる《しばしば受け身で》うろたえる</t>
    <phoneticPr fontId="5"/>
  </si>
  <si>
    <t>【+目(+from+(代)名)】引き出す，取り出す</t>
    <phoneticPr fontId="5"/>
  </si>
  <si>
    <t>《叙述的用法の形容詞》
1.【+for+(代)名詞】(～を)しきりに求めて，熱望[切望]して 
2.【+to+do】しきりに～したがって
3.【+that】（～であるように）熱望して</t>
    <phoneticPr fontId="5"/>
  </si>
  <si>
    <t>ideally</t>
    <phoneticPr fontId="5"/>
  </si>
  <si>
    <t>理想的には[言えば]，</t>
    <rPh sb="0" eb="3">
      <t>リソウテキ</t>
    </rPh>
    <rPh sb="6" eb="7">
      <t>イ</t>
    </rPh>
    <phoneticPr fontId="5"/>
  </si>
  <si>
    <t>副</t>
    <phoneticPr fontId="5"/>
  </si>
  <si>
    <t>thrive</t>
    <phoneticPr fontId="5"/>
  </si>
  <si>
    <t>自</t>
    <rPh sb="0" eb="1">
      <t>ジ</t>
    </rPh>
    <phoneticPr fontId="5"/>
  </si>
  <si>
    <t>【+on+(代)名詞】(～で)成長する，大きくなる</t>
    <rPh sb="6" eb="7">
      <t>ダイ</t>
    </rPh>
    <rPh sb="8" eb="10">
      <t>メイシ</t>
    </rPh>
    <rPh sb="15" eb="17">
      <t>セイチョウ</t>
    </rPh>
    <rPh sb="20" eb="21">
      <t>オオ</t>
    </rPh>
    <phoneticPr fontId="5"/>
  </si>
  <si>
    <t>better off</t>
    <phoneticPr fontId="5"/>
  </si>
  <si>
    <t>【+ do】(目的)～するために (in order to do)</t>
    <rPh sb="7" eb="9">
      <t>モクテキ</t>
    </rPh>
    <phoneticPr fontId="5"/>
  </si>
  <si>
    <t>【+ do】(目的)～しないように (in order not to do)</t>
    <rPh sb="7" eb="9">
      <t>モクテキ</t>
    </rPh>
    <phoneticPr fontId="5"/>
  </si>
  <si>
    <t>[形]もっと良い状態になって，いっそううまくいっていて，
(well off 参照)</t>
    <rPh sb="39" eb="41">
      <t>サンショウ</t>
    </rPh>
    <phoneticPr fontId="5"/>
  </si>
  <si>
    <t>on one's own</t>
    <phoneticPr fontId="5"/>
  </si>
  <si>
    <t>自分で，単独で</t>
    <rPh sb="0" eb="2">
      <t>ジブン</t>
    </rPh>
    <rPh sb="4" eb="6">
      <t>タンドク</t>
    </rPh>
    <phoneticPr fontId="5"/>
  </si>
  <si>
    <t>f</t>
    <phoneticPr fontId="5"/>
  </si>
  <si>
    <t>He pretends as though he had had nothing to do with the case.</t>
    <phoneticPr fontId="5"/>
  </si>
  <si>
    <t>get</t>
    <phoneticPr fontId="5"/>
  </si>
  <si>
    <t>【+目+to do】(～するのを)可能にする</t>
    <rPh sb="2" eb="3">
      <t>モク</t>
    </rPh>
    <rPh sb="17" eb="19">
      <t>カノウ</t>
    </rPh>
    <phoneticPr fontId="5"/>
  </si>
  <si>
    <t>1.傾く　2.衰える　3.辞退する
衰微，衰え</t>
    <phoneticPr fontId="5"/>
  </si>
  <si>
    <t>他
自</t>
    <rPh sb="4" eb="5">
      <t>ジ</t>
    </rPh>
    <phoneticPr fontId="5"/>
  </si>
  <si>
    <t xml:space="preserve">
get dressed　服を着る，支度する</t>
    <rPh sb="16" eb="17">
      <t>フク</t>
    </rPh>
    <rPh sb="18" eb="19">
      <t>キ</t>
    </rPh>
    <rPh sb="21" eb="23">
      <t>シタク</t>
    </rPh>
    <phoneticPr fontId="5"/>
  </si>
  <si>
    <t>preference</t>
    <phoneticPr fontId="5"/>
  </si>
  <si>
    <t>名</t>
    <rPh sb="0" eb="1">
      <t>メイ</t>
    </rPh>
    <phoneticPr fontId="5"/>
  </si>
  <si>
    <t>[不可算]好み，選択
[可算]  好物，選択物</t>
    <rPh sb="1" eb="2">
      <t>フ</t>
    </rPh>
    <rPh sb="3" eb="4">
      <t>ザン</t>
    </rPh>
    <rPh sb="5" eb="6">
      <t>コノ</t>
    </rPh>
    <rPh sb="8" eb="10">
      <t>センタク</t>
    </rPh>
    <rPh sb="12" eb="14">
      <t>カサン</t>
    </rPh>
    <rPh sb="17" eb="19">
      <t>コウブツ</t>
    </rPh>
    <rPh sb="20" eb="22">
      <t>センタク</t>
    </rPh>
    <rPh sb="22" eb="23">
      <t>ブツ</t>
    </rPh>
    <phoneticPr fontId="5"/>
  </si>
  <si>
    <t>have no bearing on</t>
    <phoneticPr fontId="5"/>
  </si>
  <si>
    <t>～と関係がない</t>
    <rPh sb="2" eb="4">
      <t>カンケイ</t>
    </rPh>
    <phoneticPr fontId="5"/>
  </si>
  <si>
    <t>1.【+目+目】(人に)(ものを)買ってやる，手に入れてやる
2.【+目的語+過分】～を―される，～を―してもらう
　　　　　　　　　～を―(された状態に)する
1.【+補】(形容詞を補語にして) ～(に)なる
2.【+過分】(形容詞(的な過去分詞)を補語にして) (…の状態に)なる</t>
    <rPh sb="4" eb="5">
      <t>モク</t>
    </rPh>
    <rPh sb="6" eb="7">
      <t>モク</t>
    </rPh>
    <rPh sb="23" eb="24">
      <t>テ</t>
    </rPh>
    <rPh sb="25" eb="26">
      <t>イ</t>
    </rPh>
    <phoneticPr fontId="5"/>
  </si>
  <si>
    <t>1.(～を)確認する，見分ける
2.【+目+as補】(～だと)見極める，証明する
  【目＝oneselfで】身元を明らかにする，名乗る
3.【+目+with+(代)名】(～と)同一であるとみなす､同一視する
　【+with+(代)名】(～と)自己を同一視する，共鳴する</t>
    <rPh sb="6" eb="8">
      <t>カクニン</t>
    </rPh>
    <rPh sb="11" eb="13">
      <t>ミワ</t>
    </rPh>
    <rPh sb="20" eb="21">
      <t>モク</t>
    </rPh>
    <rPh sb="24" eb="25">
      <t>ホ</t>
    </rPh>
    <rPh sb="31" eb="33">
      <t>ミキワ</t>
    </rPh>
    <rPh sb="36" eb="38">
      <t>ショウメイ</t>
    </rPh>
    <rPh sb="44" eb="45">
      <t>モク</t>
    </rPh>
    <rPh sb="55" eb="57">
      <t>ミモト</t>
    </rPh>
    <rPh sb="58" eb="59">
      <t>アキ</t>
    </rPh>
    <rPh sb="65" eb="67">
      <t>ナノ</t>
    </rPh>
    <rPh sb="73" eb="74">
      <t>モク</t>
    </rPh>
    <rPh sb="81" eb="82">
      <t>ダイ</t>
    </rPh>
    <rPh sb="83" eb="84">
      <t>メイ</t>
    </rPh>
    <rPh sb="89" eb="91">
      <t>ドウイツ</t>
    </rPh>
    <rPh sb="99" eb="102">
      <t>ドウイツシ</t>
    </rPh>
    <rPh sb="114" eb="115">
      <t>ダイ</t>
    </rPh>
    <rPh sb="116" eb="117">
      <t>メイ</t>
    </rPh>
    <rPh sb="122" eb="124">
      <t>ジコ</t>
    </rPh>
    <rPh sb="125" eb="128">
      <t>ドウイツシ</t>
    </rPh>
    <rPh sb="131" eb="133">
      <t>キョウメイ</t>
    </rPh>
    <phoneticPr fontId="5"/>
  </si>
  <si>
    <t>incentive to hard work  勤勉への動機
incentive to work harder  もっと熱心に働こうとする動機</t>
    <rPh sb="24" eb="26">
      <t>キンベン</t>
    </rPh>
    <rPh sb="28" eb="30">
      <t>ドウキ</t>
    </rPh>
    <rPh sb="60" eb="62">
      <t>ネッシン</t>
    </rPh>
    <rPh sb="63" eb="64">
      <t>ハタラ</t>
    </rPh>
    <rPh sb="69" eb="71">
      <t>ドウキ</t>
    </rPh>
    <phoneticPr fontId="5"/>
  </si>
  <si>
    <t>His teacher inflicted a punishment on the mischievous boy.
　先生はいたずら小僧に罰を与えた</t>
    <rPh sb="60" eb="62">
      <t>センセイ</t>
    </rPh>
    <rPh sb="67" eb="69">
      <t>コゾウ</t>
    </rPh>
    <rPh sb="70" eb="71">
      <t>バツ</t>
    </rPh>
    <rPh sb="72" eb="73">
      <t>アタ</t>
    </rPh>
    <phoneticPr fontId="5"/>
  </si>
  <si>
    <t>It is a pity that a man of your ability should remain unknown to the world.
　あなたほどの才能の持ち主が世間に知られずにいるのは惜しいことです</t>
    <rPh sb="83" eb="85">
      <t>サイノウ</t>
    </rPh>
    <rPh sb="86" eb="87">
      <t>モ</t>
    </rPh>
    <rPh sb="88" eb="89">
      <t>ヌシ</t>
    </rPh>
    <rPh sb="90" eb="92">
      <t>セケン</t>
    </rPh>
    <rPh sb="93" eb="94">
      <t>シ</t>
    </rPh>
    <rPh sb="102" eb="103">
      <t>オ</t>
    </rPh>
    <phoneticPr fontId="5"/>
  </si>
  <si>
    <t xml:space="preserve">
I respect him for what he did.／We respect her as an artist.</t>
    <phoneticPr fontId="5"/>
  </si>
  <si>
    <t>Things are beginning to succeed with him. 彼は万事が順調になりはじめた
They succeeded in reaching the top of the mountain.
She succeeded Prof.Blake as chair of the department.
　彼女は学部長としてブレーク教授の後任になった</t>
    <rPh sb="42" eb="43">
      <t>カレ</t>
    </rPh>
    <rPh sb="44" eb="46">
      <t>バンジ</t>
    </rPh>
    <rPh sb="47" eb="49">
      <t>ジュンチョウ</t>
    </rPh>
    <rPh sb="163" eb="165">
      <t>カノジョ</t>
    </rPh>
    <rPh sb="166" eb="169">
      <t>ガクブチョウ</t>
    </rPh>
    <rPh sb="176" eb="178">
      <t>キョウジュ</t>
    </rPh>
    <rPh sb="179" eb="181">
      <t>コウニン</t>
    </rPh>
    <phoneticPr fontId="5"/>
  </si>
  <si>
    <t xml:space="preserve">
The teacher urged on us the necessary of practice.
　先生は我々に練習の必要性を力説した</t>
    <rPh sb="53" eb="55">
      <t>センセイ</t>
    </rPh>
    <rPh sb="56" eb="58">
      <t>ワレワレ</t>
    </rPh>
    <rPh sb="59" eb="61">
      <t>レンシュウ</t>
    </rPh>
    <rPh sb="62" eb="65">
      <t>ヒツヨウセイ</t>
    </rPh>
    <rPh sb="66" eb="68">
      <t>リキセツ</t>
    </rPh>
    <phoneticPr fontId="5"/>
  </si>
  <si>
    <t>How do you reconsile your ideas with reality?
　理想と現実をどうやって一致させるのか
They quarreled but were soon reconsiled.
Have you reconsiled with her?  彼女と仲直りしたかい？
He found it hard to reconsile himself to this unpleasant state of affairs.
　彼はこの不愉快な状態に甘んじていくことが困難だと知った</t>
    <rPh sb="47" eb="49">
      <t>リソウ</t>
    </rPh>
    <rPh sb="50" eb="52">
      <t>ゲンジツ</t>
    </rPh>
    <rPh sb="58" eb="60">
      <t>イッチ</t>
    </rPh>
    <rPh sb="138" eb="140">
      <t>カノジョ</t>
    </rPh>
    <rPh sb="141" eb="143">
      <t>ナカナオ</t>
    </rPh>
    <rPh sb="226" eb="227">
      <t>カレ</t>
    </rPh>
    <rPh sb="230" eb="233">
      <t>フユカイ</t>
    </rPh>
    <rPh sb="234" eb="236">
      <t>ジョウタイ</t>
    </rPh>
    <rPh sb="237" eb="238">
      <t>アマ</t>
    </rPh>
    <rPh sb="246" eb="248">
      <t>コンナン</t>
    </rPh>
    <rPh sb="250" eb="251">
      <t>シ</t>
    </rPh>
    <phoneticPr fontId="5"/>
  </si>
  <si>
    <t>1.調和させる，両立させる
2.仲直りさせる，和解させる《しばしば受身で》
3.(～oneself  または受身で) に甘んじる，に満足する</t>
    <rPh sb="2" eb="4">
      <t>チョウワ</t>
    </rPh>
    <rPh sb="8" eb="10">
      <t>リョウリツ</t>
    </rPh>
    <rPh sb="17" eb="19">
      <t>ナカナオ</t>
    </rPh>
    <rPh sb="24" eb="26">
      <t>ワカイ</t>
    </rPh>
    <rPh sb="34" eb="36">
      <t>ウケミ</t>
    </rPh>
    <rPh sb="56" eb="58">
      <t>ウケミ</t>
    </rPh>
    <rPh sb="62" eb="63">
      <t>アマ</t>
    </rPh>
    <rPh sb="68" eb="70">
      <t>マンゾク</t>
    </rPh>
    <phoneticPr fontId="5"/>
  </si>
  <si>
    <t>【+形】【+名】【+分詞】 ～のままである，相変らず～だ</t>
    <rPh sb="2" eb="3">
      <t>カタチ</t>
    </rPh>
    <rPh sb="6" eb="7">
      <t>ナ</t>
    </rPh>
    <rPh sb="10" eb="12">
      <t>ブンシ</t>
    </rPh>
    <rPh sb="22" eb="24">
      <t>アイカワ</t>
    </rPh>
    <phoneticPr fontId="5"/>
  </si>
  <si>
    <t>good manners よい作法　It is bad manners to speak with your mouse full.
There lives in this world people of all sorts of colors and manners and customs.</t>
    <rPh sb="15" eb="17">
      <t>サホウ</t>
    </rPh>
    <phoneticPr fontId="5"/>
  </si>
  <si>
    <t>My answer made him angry.  He made his son a lawer.
He made a lawer of his son.
He made himself understood in English.
His death was made known to the public.
I made him go.　私は彼を行かせた。</t>
    <phoneticPr fontId="5"/>
  </si>
  <si>
    <t xml:space="preserve">
The child was identified by the clothes he wore.
He identified himself as a close friend of Jim's.
The mayor identified the interests of the citizens with his own prosperity.
　市長は市民の利益を自分の繁栄と同一に考えた</t>
    <rPh sb="177" eb="179">
      <t>シチョウ</t>
    </rPh>
    <rPh sb="180" eb="182">
      <t>シミン</t>
    </rPh>
    <rPh sb="183" eb="185">
      <t>リエキ</t>
    </rPh>
    <rPh sb="186" eb="188">
      <t>ジブン</t>
    </rPh>
    <rPh sb="189" eb="191">
      <t>ハンエイ</t>
    </rPh>
    <rPh sb="192" eb="194">
      <t>ドウイツ</t>
    </rPh>
    <rPh sb="195" eb="196">
      <t>カンガ</t>
    </rPh>
    <phoneticPr fontId="5"/>
  </si>
  <si>
    <t xml:space="preserve">
He exploded with rage.　彼はかっとなって怒った
He exploded with laughter.　彼はどっと笑い出した
explode ｉｎｔｏ laughter　どっと笑い出す</t>
    <rPh sb="24" eb="25">
      <t>カレ</t>
    </rPh>
    <rPh sb="32" eb="33">
      <t>オコ</t>
    </rPh>
    <rPh sb="63" eb="64">
      <t>カレ</t>
    </rPh>
    <rPh sb="68" eb="69">
      <t>ワラ</t>
    </rPh>
    <rPh sb="70" eb="71">
      <t>ダ</t>
    </rPh>
    <rPh sb="99" eb="100">
      <t>ワラ</t>
    </rPh>
    <rPh sb="101" eb="102">
      <t>ダ</t>
    </rPh>
    <phoneticPr fontId="5"/>
  </si>
  <si>
    <t>the fury of the elements　自然力の猛威</t>
    <phoneticPr fontId="5"/>
  </si>
  <si>
    <t xml:space="preserve">
It is awfully decent of you to come and see me off.
　あなたは私を見送りに来てくれてとても親切です</t>
    <rPh sb="58" eb="59">
      <t>ワタシ</t>
    </rPh>
    <rPh sb="60" eb="62">
      <t>ミオク</t>
    </rPh>
    <rPh sb="64" eb="65">
      <t>キ</t>
    </rPh>
    <rPh sb="72" eb="74">
      <t>シンセツ</t>
    </rPh>
    <phoneticPr fontId="5"/>
  </si>
  <si>
    <t>commit a crime　罪を犯す　commit suicide　自殺する
commit a lot of money to developing countries　発展途上国に多額の金を拠出する
She has commited herself to take the job.　彼女はその仕事に就くことを約束した。
I have commited myself to sitting on two committees.
　私は2つの委員会の委員を引き受けてしまった
commit oneself to the care of a doctor　医者の治療に身を委ねる</t>
    <phoneticPr fontId="5"/>
  </si>
  <si>
    <r>
      <t xml:space="preserve">
He blamed the accident on his friend.　彼は事故の責任を友人のせいにした
</t>
    </r>
    <r>
      <rPr>
        <sz val="9"/>
        <color indexed="12"/>
        <rFont val="ＭＳ 明朝"/>
        <family val="1"/>
        <charset val="128"/>
      </rPr>
      <t>Who is to blame for the accident?　その事故の責任は誰にあるのか</t>
    </r>
    <r>
      <rPr>
        <sz val="9"/>
        <rFont val="ＭＳ 明朝"/>
        <family val="1"/>
        <charset val="128"/>
      </rPr>
      <t xml:space="preserve">
Detective stories are sometimes blamed for the increase in crime.
　推理小説は犯罪の増加を招くとして時々非難される</t>
    </r>
    <rPh sb="39" eb="40">
      <t>カレ</t>
    </rPh>
    <rPh sb="41" eb="43">
      <t>ジコ</t>
    </rPh>
    <rPh sb="44" eb="46">
      <t>セキニン</t>
    </rPh>
    <rPh sb="47" eb="49">
      <t>ユウジン</t>
    </rPh>
    <rPh sb="92" eb="94">
      <t>ジコ</t>
    </rPh>
    <rPh sb="95" eb="97">
      <t>セキニン</t>
    </rPh>
    <rPh sb="98" eb="99">
      <t>ダレ</t>
    </rPh>
    <rPh sb="172" eb="174">
      <t>スイリ</t>
    </rPh>
    <rPh sb="174" eb="176">
      <t>ショウセツ</t>
    </rPh>
    <rPh sb="177" eb="179">
      <t>ハンザイ</t>
    </rPh>
    <rPh sb="180" eb="182">
      <t>ゾウカ</t>
    </rPh>
    <rPh sb="183" eb="184">
      <t>マネ</t>
    </rPh>
    <rPh sb="188" eb="190">
      <t>トキドキ</t>
    </rPh>
    <rPh sb="190" eb="192">
      <t>ヒナン</t>
    </rPh>
    <phoneticPr fontId="5"/>
  </si>
  <si>
    <t>He was accompanied by his wife.　彼は婦人を同伴していた
＝His wife accompanied him　婦人は彼に同行した
She accompanied her praise with a kiss on my cheek.
　彼女は称賛に私の頬に口づけを添えた</t>
    <phoneticPr fontId="5"/>
  </si>
  <si>
    <r>
      <t>1.～のせいにする，～に責任があると言う
2.【blame ～ for ― / blame ― on ～】 ―を～のせいにする
3.</t>
    </r>
    <r>
      <rPr>
        <sz val="9"/>
        <color indexed="12"/>
        <rFont val="ＭＳ 明朝"/>
        <family val="1"/>
        <charset val="128"/>
      </rPr>
      <t>【be to ～ + for ―】 ―について～に責任がある</t>
    </r>
    <r>
      <rPr>
        <sz val="9"/>
        <rFont val="ＭＳ 明朝"/>
        <family val="1"/>
        <charset val="128"/>
      </rPr>
      <t xml:space="preserve">
4.【+ for ～】～について非難する</t>
    </r>
    <rPh sb="12" eb="14">
      <t>セキニン</t>
    </rPh>
    <rPh sb="18" eb="19">
      <t>イ</t>
    </rPh>
    <rPh sb="91" eb="93">
      <t>セキニン</t>
    </rPh>
    <rPh sb="113" eb="115">
      <t>ヒナン</t>
    </rPh>
    <phoneticPr fontId="5"/>
  </si>
  <si>
    <t xml:space="preserve">presentation order </t>
    <phoneticPr fontId="5"/>
  </si>
  <si>
    <t>提示順序</t>
    <phoneticPr fontId="5"/>
  </si>
  <si>
    <t>当惑，うろたえ</t>
    <phoneticPr fontId="5"/>
  </si>
  <si>
    <t>look A up</t>
    <phoneticPr fontId="5"/>
  </si>
  <si>
    <t>bear</t>
    <phoneticPr fontId="5"/>
  </si>
</sst>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0"/>
      <name val="ＭＳ 明朝"/>
      <family val="1"/>
      <charset val="128"/>
    </font>
    <font>
      <b/>
      <i/>
      <sz val="10"/>
      <name val="ＭＳ 明朝"/>
      <family val="1"/>
      <charset val="128"/>
    </font>
    <font>
      <sz val="11"/>
      <name val="ＭＳ 明朝"/>
      <family val="1"/>
      <charset val="128"/>
    </font>
    <font>
      <sz val="9"/>
      <name val="ＭＳ 明朝"/>
      <family val="1"/>
      <charset val="128"/>
    </font>
    <font>
      <sz val="10"/>
      <name val="ＭＳ 明朝"/>
      <family val="1"/>
      <charset val="128"/>
    </font>
    <font>
      <sz val="6"/>
      <name val="ＭＳ 明朝"/>
      <family val="1"/>
      <charset val="128"/>
    </font>
    <font>
      <sz val="10"/>
      <name val="ＭＳ Ｐ明朝"/>
      <family val="1"/>
      <charset val="128"/>
    </font>
    <font>
      <sz val="11"/>
      <name val="ＭＳ Ｐ明朝"/>
      <family val="1"/>
      <charset val="128"/>
    </font>
    <font>
      <sz val="9"/>
      <name val="ＭＳ Ｐ明朝"/>
      <family val="1"/>
      <charset val="128"/>
    </font>
    <font>
      <sz val="9"/>
      <color indexed="12"/>
      <name val="ＭＳ 明朝"/>
      <family val="1"/>
      <charset val="128"/>
    </font>
    <font>
      <sz val="9"/>
      <color indexed="10"/>
      <name val="ＭＳ 明朝"/>
      <family val="1"/>
      <charset val="128"/>
    </font>
    <font>
      <sz val="8"/>
      <color rgb="FF000000"/>
      <name val="ＭＳ 明朝"/>
      <family val="1"/>
      <charset val="128"/>
    </font>
  </fonts>
  <fills count="4">
    <fill>
      <patternFill patternType="none"/>
    </fill>
    <fill>
      <patternFill patternType="gray125"/>
    </fill>
    <fill>
      <patternFill patternType="solid">
        <fgColor indexed="41"/>
        <bgColor indexed="64"/>
      </patternFill>
    </fill>
    <fill>
      <patternFill patternType="solid">
        <fgColor indexed="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s>
  <cellStyleXfs count="1">
    <xf numFmtId="0" fontId="0" fillId="0" borderId="0"/>
  </cellStyleXfs>
  <cellXfs count="47">
    <xf numFmtId="0" fontId="0" fillId="0" borderId="0" xfId="0"/>
    <xf numFmtId="0" fontId="0" fillId="0" borderId="0" xfId="0" applyAlignment="1">
      <alignment vertical="top"/>
    </xf>
    <xf numFmtId="0" fontId="0" fillId="0" borderId="0" xfId="0" applyAlignment="1">
      <alignment horizontal="center" vertical="top"/>
    </xf>
    <xf numFmtId="0" fontId="0" fillId="0" borderId="1" xfId="0" applyBorder="1" applyAlignment="1">
      <alignment horizontal="center" vertical="top"/>
    </xf>
    <xf numFmtId="0" fontId="0" fillId="0" borderId="1" xfId="0" applyBorder="1" applyAlignment="1">
      <alignment vertical="top"/>
    </xf>
    <xf numFmtId="0" fontId="2" fillId="0" borderId="2" xfId="0" applyFont="1" applyBorder="1" applyAlignment="1">
      <alignment horizontal="center" vertical="center"/>
    </xf>
    <xf numFmtId="0" fontId="3" fillId="0" borderId="2" xfId="0" applyFont="1" applyBorder="1" applyAlignment="1">
      <alignment horizontal="center" vertical="center"/>
    </xf>
    <xf numFmtId="0" fontId="4" fillId="0" borderId="2" xfId="0" applyFont="1" applyBorder="1" applyAlignment="1">
      <alignment horizontal="center" vertical="center"/>
    </xf>
    <xf numFmtId="0" fontId="2" fillId="0" borderId="1" xfId="0" applyFont="1" applyBorder="1" applyAlignment="1">
      <alignment vertical="top"/>
    </xf>
    <xf numFmtId="0" fontId="2" fillId="0" borderId="0" xfId="0" applyFont="1" applyAlignment="1">
      <alignment vertical="top"/>
    </xf>
    <xf numFmtId="0" fontId="6" fillId="0" borderId="0" xfId="0" applyFont="1" applyAlignment="1">
      <alignment vertical="top"/>
    </xf>
    <xf numFmtId="0" fontId="6" fillId="0" borderId="1" xfId="0" applyFont="1" applyBorder="1" applyAlignment="1">
      <alignment horizontal="center" vertical="top"/>
    </xf>
    <xf numFmtId="0" fontId="6" fillId="0" borderId="0" xfId="0" applyFont="1" applyAlignment="1">
      <alignment horizontal="center" vertical="center"/>
    </xf>
    <xf numFmtId="0" fontId="6" fillId="0" borderId="1" xfId="0" applyNumberFormat="1" applyFont="1" applyBorder="1" applyAlignment="1">
      <alignment horizontal="center" vertical="top"/>
    </xf>
    <xf numFmtId="0" fontId="6" fillId="0" borderId="0" xfId="0" applyFont="1" applyAlignment="1">
      <alignment horizontal="center" vertical="top"/>
    </xf>
    <xf numFmtId="0" fontId="6" fillId="2" borderId="1" xfId="0" applyNumberFormat="1" applyFont="1" applyFill="1" applyBorder="1" applyAlignment="1">
      <alignment horizontal="center" vertical="top"/>
    </xf>
    <xf numFmtId="0" fontId="6" fillId="0" borderId="1" xfId="0" applyNumberFormat="1" applyFont="1" applyFill="1" applyBorder="1" applyAlignment="1">
      <alignment horizontal="center" vertical="top"/>
    </xf>
    <xf numFmtId="0" fontId="6" fillId="0" borderId="1" xfId="0" applyFont="1" applyFill="1" applyBorder="1" applyAlignment="1">
      <alignment horizontal="center" vertical="top"/>
    </xf>
    <xf numFmtId="0" fontId="1" fillId="2" borderId="1" xfId="0" applyFont="1" applyFill="1" applyBorder="1" applyAlignment="1">
      <alignment horizontal="left" vertical="top"/>
    </xf>
    <xf numFmtId="0" fontId="0" fillId="0" borderId="1" xfId="0" applyFont="1" applyBorder="1" applyAlignment="1">
      <alignment vertical="top"/>
    </xf>
    <xf numFmtId="0" fontId="0" fillId="0" borderId="1" xfId="0" applyFont="1" applyFill="1" applyBorder="1" applyAlignment="1">
      <alignment vertical="top"/>
    </xf>
    <xf numFmtId="0" fontId="1" fillId="2" borderId="1" xfId="0" applyFont="1" applyFill="1" applyBorder="1" applyAlignment="1">
      <alignment vertical="top"/>
    </xf>
    <xf numFmtId="0" fontId="0" fillId="0" borderId="1" xfId="0" applyFont="1" applyBorder="1" applyAlignment="1">
      <alignment horizontal="left" vertical="top"/>
    </xf>
    <xf numFmtId="0" fontId="0" fillId="0" borderId="0" xfId="0" applyFont="1" applyAlignment="1">
      <alignment vertical="top"/>
    </xf>
    <xf numFmtId="0" fontId="3" fillId="2" borderId="1" xfId="0" applyFont="1" applyFill="1" applyBorder="1" applyAlignment="1">
      <alignment vertical="top"/>
    </xf>
    <xf numFmtId="0" fontId="3" fillId="0" borderId="1" xfId="0" applyFont="1" applyBorder="1" applyAlignment="1">
      <alignment vertical="top" wrapText="1"/>
    </xf>
    <xf numFmtId="0" fontId="3" fillId="0" borderId="1" xfId="0" applyFont="1" applyBorder="1" applyAlignment="1">
      <alignment vertical="top"/>
    </xf>
    <xf numFmtId="0" fontId="3" fillId="0" borderId="1" xfId="0" applyFont="1" applyFill="1" applyBorder="1" applyAlignment="1">
      <alignment vertical="top"/>
    </xf>
    <xf numFmtId="0" fontId="3" fillId="0" borderId="1" xfId="0" applyFont="1" applyBorder="1"/>
    <xf numFmtId="0" fontId="3" fillId="0" borderId="1" xfId="0" applyFont="1" applyBorder="1" applyAlignment="1">
      <alignment wrapText="1"/>
    </xf>
    <xf numFmtId="0" fontId="3" fillId="0" borderId="1" xfId="0" applyFont="1" applyFill="1" applyBorder="1" applyAlignment="1">
      <alignment vertical="top" wrapText="1"/>
    </xf>
    <xf numFmtId="0" fontId="3" fillId="0" borderId="0" xfId="0" applyFont="1" applyAlignment="1">
      <alignment vertical="top"/>
    </xf>
    <xf numFmtId="0" fontId="6" fillId="0" borderId="2" xfId="0" applyFont="1" applyFill="1" applyBorder="1" applyAlignment="1">
      <alignment horizontal="center" vertical="center"/>
    </xf>
    <xf numFmtId="0" fontId="2" fillId="0" borderId="2" xfId="0" applyFont="1" applyFill="1" applyBorder="1" applyAlignment="1">
      <alignment horizontal="center" vertical="center"/>
    </xf>
    <xf numFmtId="0" fontId="8" fillId="0" borderId="2" xfId="0" applyFont="1" applyFill="1" applyBorder="1" applyAlignment="1">
      <alignment horizontal="center" vertical="center"/>
    </xf>
    <xf numFmtId="0" fontId="3" fillId="3" borderId="1" xfId="0" applyFont="1" applyFill="1" applyBorder="1" applyAlignment="1">
      <alignment vertical="top"/>
    </xf>
    <xf numFmtId="0" fontId="1" fillId="3" borderId="1" xfId="0" applyFont="1" applyFill="1" applyBorder="1" applyAlignment="1">
      <alignment vertical="top"/>
    </xf>
    <xf numFmtId="0" fontId="6" fillId="3" borderId="1" xfId="0" applyFont="1" applyFill="1" applyBorder="1" applyAlignment="1">
      <alignment horizontal="center" vertical="top"/>
    </xf>
    <xf numFmtId="0" fontId="0" fillId="0" borderId="1" xfId="0" applyFill="1" applyBorder="1" applyAlignment="1">
      <alignment vertical="top"/>
    </xf>
    <xf numFmtId="0" fontId="7" fillId="0" borderId="2" xfId="0" applyFont="1" applyBorder="1" applyAlignment="1">
      <alignment horizontal="center" vertical="center"/>
    </xf>
    <xf numFmtId="0" fontId="0" fillId="0" borderId="1" xfId="0" applyFont="1" applyFill="1" applyBorder="1" applyAlignment="1">
      <alignment horizontal="left" vertical="top"/>
    </xf>
    <xf numFmtId="0" fontId="3" fillId="0" borderId="1" xfId="0" applyNumberFormat="1" applyFont="1" applyBorder="1" applyAlignment="1">
      <alignment vertical="top" wrapText="1"/>
    </xf>
    <xf numFmtId="0" fontId="3" fillId="2" borderId="1" xfId="0" applyFont="1" applyFill="1" applyBorder="1" applyAlignment="1">
      <alignment horizontal="center" vertical="top"/>
    </xf>
    <xf numFmtId="0" fontId="3" fillId="0" borderId="1" xfId="0" applyFont="1" applyBorder="1" applyAlignment="1">
      <alignment horizontal="center" vertical="top"/>
    </xf>
    <xf numFmtId="0" fontId="3" fillId="0" borderId="1" xfId="0" applyFont="1" applyBorder="1" applyAlignment="1">
      <alignment horizontal="center" vertical="top" wrapText="1"/>
    </xf>
    <xf numFmtId="0" fontId="3" fillId="0" borderId="1" xfId="0" applyFont="1" applyFill="1" applyBorder="1" applyAlignment="1">
      <alignment horizontal="center" vertical="top"/>
    </xf>
    <xf numFmtId="0" fontId="3" fillId="0" borderId="1" xfId="0" applyFont="1" applyFill="1" applyBorder="1" applyAlignment="1">
      <alignment horizontal="center" vertical="top" wrapText="1"/>
    </xf>
  </cellXfs>
  <cellStyles count="1">
    <cellStyle name="標準" xfId="0" builtinId="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628650</xdr:colOff>
          <xdr:row>1</xdr:row>
          <xdr:rowOff>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新規行作成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xdr:colOff>
          <xdr:row>0</xdr:row>
          <xdr:rowOff>0</xdr:rowOff>
        </xdr:from>
        <xdr:to>
          <xdr:col>2</xdr:col>
          <xdr:colOff>628650</xdr:colOff>
          <xdr:row>0</xdr:row>
          <xdr:rowOff>180975</xdr:rowOff>
        </xdr:to>
        <xdr:sp macro="" textlink="">
          <xdr:nvSpPr>
            <xdr:cNvPr id="2049" name="Button 1" descr="新規行作成i &#10;"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明朝"/>
                  <a:ea typeface="ＭＳ 明朝"/>
                </a:rPr>
                <a:t>新規行作成</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P16423"/>
  <sheetViews>
    <sheetView zoomScale="130" zoomScaleNormal="130" workbookViewId="0">
      <pane ySplit="1" topLeftCell="A11" activePane="bottomLeft" state="frozen"/>
      <selection pane="bottomLeft" activeCell="D19" sqref="D19"/>
    </sheetView>
  </sheetViews>
  <sheetFormatPr defaultRowHeight="12" x14ac:dyDescent="0.15"/>
  <cols>
    <col min="1" max="1" width="4.28515625" style="14" customWidth="1"/>
    <col min="2" max="2" width="22.7109375" style="23" customWidth="1"/>
    <col min="3" max="3" width="4.28515625" style="14" customWidth="1"/>
    <col min="4" max="4" width="67.7109375" style="23" customWidth="1"/>
    <col min="5" max="5" width="72.7109375" style="31" customWidth="1"/>
    <col min="6" max="16384" width="9.140625" style="10"/>
  </cols>
  <sheetData>
    <row r="1" spans="1:16" ht="15.6" customHeight="1" thickBot="1" x14ac:dyDescent="0.2">
      <c r="A1" s="32" t="s">
        <v>185</v>
      </c>
      <c r="B1" s="33" t="s">
        <v>1</v>
      </c>
      <c r="C1" s="34" t="s">
        <v>2</v>
      </c>
      <c r="D1" s="33" t="s">
        <v>192</v>
      </c>
      <c r="E1" s="33" t="s">
        <v>193</v>
      </c>
      <c r="F1" s="12"/>
      <c r="G1" s="12"/>
      <c r="H1" s="12"/>
      <c r="I1" s="12"/>
      <c r="J1" s="12"/>
      <c r="K1" s="12"/>
      <c r="L1" s="12"/>
      <c r="M1" s="12"/>
      <c r="N1" s="12"/>
      <c r="O1" s="12"/>
      <c r="P1" s="12"/>
    </row>
    <row r="2" spans="1:16" x14ac:dyDescent="0.15">
      <c r="A2" s="15" t="str">
        <f>IF(LEN(B2)&gt;1,ROW()-ROW(A$1)-COUNTBLANK(A1:A$2),"")</f>
        <v/>
      </c>
      <c r="B2" s="18" t="s">
        <v>44</v>
      </c>
      <c r="C2" s="42"/>
      <c r="D2" s="24"/>
      <c r="E2" s="24"/>
    </row>
    <row r="3" spans="1:16" ht="45" x14ac:dyDescent="0.15">
      <c r="A3" s="13">
        <f>IF(LEN(B3)&gt;1,ROW()-ROW(A$1)-COUNTBLANK(A$2:A2),"")</f>
        <v>1</v>
      </c>
      <c r="B3" s="19" t="s">
        <v>32</v>
      </c>
      <c r="C3" s="43" t="s">
        <v>12</v>
      </c>
      <c r="D3" s="25" t="s">
        <v>283</v>
      </c>
      <c r="E3" s="25" t="s">
        <v>372</v>
      </c>
    </row>
    <row r="4" spans="1:16" x14ac:dyDescent="0.15">
      <c r="A4" s="13">
        <f>IF(LEN(B4)&gt;1,ROW()-ROW(A$1)-COUNTBLANK(A$2:A3),"")</f>
        <v>2</v>
      </c>
      <c r="B4" s="19" t="s">
        <v>41</v>
      </c>
      <c r="C4" s="43" t="s">
        <v>9</v>
      </c>
      <c r="D4" s="26" t="s">
        <v>284</v>
      </c>
      <c r="E4" s="26" t="s">
        <v>42</v>
      </c>
    </row>
    <row r="5" spans="1:16" x14ac:dyDescent="0.15">
      <c r="A5" s="13">
        <f>IF(LEN(B5)&gt;1,ROW()-ROW(A$1)-COUNTBLANK(A$2:A4),"")</f>
        <v>3</v>
      </c>
      <c r="B5" s="19" t="s">
        <v>45</v>
      </c>
      <c r="C5" s="43" t="s">
        <v>15</v>
      </c>
      <c r="D5" s="25" t="s">
        <v>46</v>
      </c>
      <c r="E5" s="26"/>
    </row>
    <row r="6" spans="1:16" ht="22.5" x14ac:dyDescent="0.15">
      <c r="A6" s="13">
        <f>IF(LEN(B6)&gt;1,ROW()-ROW(A$1)-COUNTBLANK(A$2:A5),"")</f>
        <v>4</v>
      </c>
      <c r="B6" s="19" t="s">
        <v>47</v>
      </c>
      <c r="C6" s="43" t="s">
        <v>9</v>
      </c>
      <c r="D6" s="25" t="s">
        <v>285</v>
      </c>
      <c r="E6" s="26"/>
    </row>
    <row r="7" spans="1:16" x14ac:dyDescent="0.15">
      <c r="A7" s="13">
        <f>IF(LEN(B7)&gt;1,ROW()-ROW(A$1)-COUNTBLANK(A$2:A6),"")</f>
        <v>5</v>
      </c>
      <c r="B7" s="19" t="s">
        <v>48</v>
      </c>
      <c r="C7" s="43" t="s">
        <v>28</v>
      </c>
      <c r="D7" s="26" t="s">
        <v>49</v>
      </c>
      <c r="E7" s="26"/>
    </row>
    <row r="8" spans="1:16" x14ac:dyDescent="0.15">
      <c r="A8" s="13">
        <f>IF(LEN(B8)&gt;1,ROW()-ROW(A$1)-COUNTBLANK(A$2:A7),"")</f>
        <v>6</v>
      </c>
      <c r="B8" s="19" t="s">
        <v>136</v>
      </c>
      <c r="C8" s="44" t="s">
        <v>116</v>
      </c>
      <c r="D8" s="26" t="s">
        <v>344</v>
      </c>
      <c r="E8" s="26" t="s">
        <v>137</v>
      </c>
    </row>
    <row r="9" spans="1:16" x14ac:dyDescent="0.15">
      <c r="A9" s="13">
        <f>IF(LEN(B9)&gt;1,ROW()-ROW(A$1)-COUNTBLANK(A$2:A8),"")</f>
        <v>7</v>
      </c>
      <c r="B9" s="19" t="s">
        <v>122</v>
      </c>
      <c r="C9" s="43" t="s">
        <v>113</v>
      </c>
      <c r="D9" s="26" t="s">
        <v>286</v>
      </c>
      <c r="E9" s="26" t="s">
        <v>123</v>
      </c>
    </row>
    <row r="10" spans="1:16" x14ac:dyDescent="0.15">
      <c r="A10" s="16">
        <f>IF(LEN(B10)&gt;1,ROW()-ROW(A$1)-COUNTBLANK(A$2:A9),"")</f>
        <v>8</v>
      </c>
      <c r="B10" s="20" t="s">
        <v>278</v>
      </c>
      <c r="C10" s="45" t="s">
        <v>263</v>
      </c>
      <c r="D10" s="27" t="s">
        <v>279</v>
      </c>
      <c r="E10" s="27"/>
    </row>
    <row r="11" spans="1:16" x14ac:dyDescent="0.15">
      <c r="A11" s="15" t="str">
        <f>IF(LEN(B11)&gt;1,ROW()-ROW(A$1)-COUNTBLANK(A$2:A10),"")</f>
        <v/>
      </c>
      <c r="B11" s="18" t="s">
        <v>50</v>
      </c>
      <c r="C11" s="42"/>
      <c r="D11" s="24"/>
      <c r="E11" s="24"/>
    </row>
    <row r="12" spans="1:16" x14ac:dyDescent="0.15">
      <c r="A12" s="16">
        <f>IF(LEN(B12)&gt;1,ROW()-ROW(A$1)-COUNTBLANK(A$2:A11),"")</f>
        <v>9</v>
      </c>
      <c r="B12" s="40" t="s">
        <v>259</v>
      </c>
      <c r="C12" s="45" t="s">
        <v>260</v>
      </c>
      <c r="D12" s="27" t="s">
        <v>261</v>
      </c>
      <c r="E12" s="27"/>
    </row>
    <row r="13" spans="1:16" x14ac:dyDescent="0.15">
      <c r="A13" s="16">
        <f>IF(LEN(B13)&gt;1,ROW()-ROW(A$1)-COUNTBLANK(A$2:A12),"")</f>
        <v>10</v>
      </c>
      <c r="B13" s="20" t="s">
        <v>51</v>
      </c>
      <c r="C13" s="45" t="s">
        <v>12</v>
      </c>
      <c r="D13" s="30" t="s">
        <v>325</v>
      </c>
      <c r="E13" s="27"/>
    </row>
    <row r="14" spans="1:16" x14ac:dyDescent="0.15">
      <c r="A14" s="13">
        <f>IF(LEN(B14)&gt;1,ROW()-ROW(A$1)-COUNTBLANK(A$2:A13),"")</f>
        <v>11</v>
      </c>
      <c r="B14" s="19" t="s">
        <v>52</v>
      </c>
      <c r="C14" s="43" t="s">
        <v>6</v>
      </c>
      <c r="D14" s="26" t="s">
        <v>376</v>
      </c>
      <c r="E14" s="26"/>
    </row>
    <row r="15" spans="1:16" ht="56.25" x14ac:dyDescent="0.15">
      <c r="A15" s="13">
        <f>IF(LEN(B15)&gt;1,ROW()-ROW(A$1)-COUNTBLANK(A$2:A14),"")</f>
        <v>12</v>
      </c>
      <c r="B15" s="19" t="s">
        <v>176</v>
      </c>
      <c r="C15" s="43" t="s">
        <v>116</v>
      </c>
      <c r="D15" s="25" t="s">
        <v>373</v>
      </c>
      <c r="E15" s="25" t="s">
        <v>371</v>
      </c>
    </row>
    <row r="16" spans="1:16" x14ac:dyDescent="0.15">
      <c r="A16" s="15"/>
      <c r="B16" s="21" t="s">
        <v>53</v>
      </c>
      <c r="C16" s="42"/>
      <c r="D16" s="24"/>
      <c r="E16" s="24"/>
    </row>
    <row r="17" spans="1:5" ht="22.5" x14ac:dyDescent="0.15">
      <c r="A17" s="16">
        <f>IF(LEN(B17)&gt;1,ROW()-ROW(A$1)-COUNTBLANK(A$2:A16),"")</f>
        <v>13</v>
      </c>
      <c r="B17" s="19" t="s">
        <v>124</v>
      </c>
      <c r="C17" s="44" t="s">
        <v>114</v>
      </c>
      <c r="D17" s="25" t="s">
        <v>125</v>
      </c>
      <c r="E17" s="26"/>
    </row>
    <row r="18" spans="1:5" x14ac:dyDescent="0.15">
      <c r="A18" s="13">
        <f>IF(LEN(B18)&gt;1,ROW()-ROW(A$1)-COUNTBLANK(A$2:A17),"")</f>
        <v>14</v>
      </c>
      <c r="B18" s="19" t="s">
        <v>145</v>
      </c>
      <c r="C18" s="43" t="s">
        <v>114</v>
      </c>
      <c r="D18" s="26" t="s">
        <v>146</v>
      </c>
      <c r="E18" s="28"/>
    </row>
    <row r="19" spans="1:5" ht="67.5" x14ac:dyDescent="0.15">
      <c r="A19" s="13">
        <f>IF(LEN(B19)&gt;1,ROW()-ROW(A$1)-COUNTBLANK(A$2:A18),"")</f>
        <v>15</v>
      </c>
      <c r="B19" s="19" t="s">
        <v>164</v>
      </c>
      <c r="C19" s="43" t="s">
        <v>116</v>
      </c>
      <c r="D19" s="25" t="s">
        <v>287</v>
      </c>
      <c r="E19" s="29" t="s">
        <v>370</v>
      </c>
    </row>
    <row r="20" spans="1:5" x14ac:dyDescent="0.15">
      <c r="A20" s="13">
        <f>IF(LEN(B20)&gt;1,ROW()-ROW(A$1)-COUNTBLANK(A$2:A19),"")</f>
        <v>16</v>
      </c>
      <c r="B20" s="19" t="s">
        <v>33</v>
      </c>
      <c r="C20" s="43" t="s">
        <v>9</v>
      </c>
      <c r="D20" s="26" t="s">
        <v>288</v>
      </c>
      <c r="E20" s="26" t="s">
        <v>34</v>
      </c>
    </row>
    <row r="21" spans="1:5" x14ac:dyDescent="0.15">
      <c r="A21" s="13">
        <f>IF(LEN(B21)&gt;1,ROW()-ROW(A$1)-COUNTBLANK(A$2:A20),"")</f>
        <v>17</v>
      </c>
      <c r="B21" s="19" t="s">
        <v>54</v>
      </c>
      <c r="C21" s="43" t="s">
        <v>12</v>
      </c>
      <c r="D21" s="25" t="s">
        <v>289</v>
      </c>
      <c r="E21" s="26"/>
    </row>
    <row r="22" spans="1:5" x14ac:dyDescent="0.15">
      <c r="A22" s="13">
        <f>IF(LEN(B22)&gt;1,ROW()-ROW(A$1)-COUNTBLANK(A$2:A21),"")</f>
        <v>18</v>
      </c>
      <c r="B22" s="19" t="s">
        <v>55</v>
      </c>
      <c r="C22" s="43" t="s">
        <v>9</v>
      </c>
      <c r="D22" s="26" t="s">
        <v>56</v>
      </c>
      <c r="E22" s="28"/>
    </row>
    <row r="23" spans="1:5" ht="22.5" x14ac:dyDescent="0.15">
      <c r="A23" s="13">
        <f>IF(LEN(B23)&gt;1,ROW()-ROW(A$1)-COUNTBLANK(A$2:A22),"")</f>
        <v>19</v>
      </c>
      <c r="B23" s="19" t="s">
        <v>168</v>
      </c>
      <c r="C23" s="43" t="s">
        <v>116</v>
      </c>
      <c r="D23" s="25" t="s">
        <v>290</v>
      </c>
      <c r="E23" s="29" t="s">
        <v>169</v>
      </c>
    </row>
    <row r="24" spans="1:5" x14ac:dyDescent="0.15">
      <c r="A24" s="13">
        <f>IF(LEN(B24)&gt;1,ROW()-ROW(A$1)-COUNTBLANK(A$2:A23),"")</f>
        <v>20</v>
      </c>
      <c r="B24" s="19" t="s">
        <v>158</v>
      </c>
      <c r="C24" s="43" t="s">
        <v>116</v>
      </c>
      <c r="D24" s="26" t="s">
        <v>159</v>
      </c>
      <c r="E24" s="28"/>
    </row>
    <row r="25" spans="1:5" x14ac:dyDescent="0.15">
      <c r="A25" s="15"/>
      <c r="B25" s="21" t="s">
        <v>57</v>
      </c>
      <c r="C25" s="42"/>
      <c r="D25" s="24"/>
      <c r="E25" s="24"/>
    </row>
    <row r="26" spans="1:5" ht="33.75" x14ac:dyDescent="0.15">
      <c r="A26" s="16">
        <f>IF(LEN(B26)&gt;1,ROW()-ROW(A$1)-COUNTBLANK(A$2:A25),"")</f>
        <v>21</v>
      </c>
      <c r="B26" s="19" t="s">
        <v>58</v>
      </c>
      <c r="C26" s="43" t="s">
        <v>9</v>
      </c>
      <c r="D26" s="25" t="s">
        <v>59</v>
      </c>
      <c r="E26" s="25" t="s">
        <v>369</v>
      </c>
    </row>
    <row r="27" spans="1:5" ht="22.5" x14ac:dyDescent="0.15">
      <c r="A27" s="16">
        <f>IF(LEN(B27)&gt;1,ROW()-ROW(A$1)-COUNTBLANK(A$2:A26),"")</f>
        <v>22</v>
      </c>
      <c r="B27" s="19" t="s">
        <v>17</v>
      </c>
      <c r="C27" s="44" t="s">
        <v>18</v>
      </c>
      <c r="D27" s="25" t="s">
        <v>345</v>
      </c>
      <c r="E27" s="25" t="s">
        <v>19</v>
      </c>
    </row>
    <row r="28" spans="1:5" x14ac:dyDescent="0.15">
      <c r="A28" s="16">
        <f>IF(LEN(B28)&gt;1,ROW()-ROW(A$1)-COUNTBLANK(A$2:A27),"")</f>
        <v>23</v>
      </c>
      <c r="B28" s="19" t="s">
        <v>147</v>
      </c>
      <c r="C28" s="44" t="s">
        <v>114</v>
      </c>
      <c r="D28" s="25" t="s">
        <v>148</v>
      </c>
      <c r="E28" s="25"/>
    </row>
    <row r="29" spans="1:5" ht="56.25" x14ac:dyDescent="0.15">
      <c r="A29" s="16">
        <f>IF(LEN(B29)&gt;1,ROW()-ROW(A$1)-COUNTBLANK(A$2:A28),"")</f>
        <v>24</v>
      </c>
      <c r="B29" s="19" t="s">
        <v>126</v>
      </c>
      <c r="C29" s="43" t="s">
        <v>108</v>
      </c>
      <c r="D29" s="25" t="s">
        <v>291</v>
      </c>
      <c r="E29" s="25" t="s">
        <v>127</v>
      </c>
    </row>
    <row r="30" spans="1:5" x14ac:dyDescent="0.15">
      <c r="A30" s="16">
        <f>IF(LEN(B30)&gt;1,ROW()-ROW(A$1)-COUNTBLANK(A$2:A29),"")</f>
        <v>25</v>
      </c>
      <c r="B30" s="19" t="s">
        <v>60</v>
      </c>
      <c r="C30" s="43" t="s">
        <v>9</v>
      </c>
      <c r="D30" s="26" t="s">
        <v>292</v>
      </c>
      <c r="E30" s="26"/>
    </row>
    <row r="31" spans="1:5" ht="22.5" x14ac:dyDescent="0.15">
      <c r="A31" s="16">
        <f>IF(LEN(B31)&gt;1,ROW()-ROW(A$1)-COUNTBLANK(A$2:A30),"")</f>
        <v>26</v>
      </c>
      <c r="B31" s="19" t="s">
        <v>61</v>
      </c>
      <c r="C31" s="44" t="s">
        <v>62</v>
      </c>
      <c r="D31" s="25" t="s">
        <v>326</v>
      </c>
      <c r="E31" s="25" t="s">
        <v>63</v>
      </c>
    </row>
    <row r="32" spans="1:5" x14ac:dyDescent="0.15">
      <c r="A32" s="16">
        <f>IF(LEN(B32)&gt;1,ROW()-ROW(A$1)-COUNTBLANK(A$2:A31),"")</f>
        <v>27</v>
      </c>
      <c r="B32" s="19" t="s">
        <v>5</v>
      </c>
      <c r="C32" s="43" t="s">
        <v>6</v>
      </c>
      <c r="D32" s="26" t="s">
        <v>7</v>
      </c>
      <c r="E32" s="26"/>
    </row>
    <row r="33" spans="1:5" x14ac:dyDescent="0.15">
      <c r="A33" s="16">
        <f>IF(LEN(B33)&gt;1,ROW()-ROW(A$1)-COUNTBLANK(A$2:A32),"")</f>
        <v>28</v>
      </c>
      <c r="B33" s="19" t="s">
        <v>174</v>
      </c>
      <c r="C33" s="43" t="s">
        <v>116</v>
      </c>
      <c r="D33" s="26" t="s">
        <v>175</v>
      </c>
      <c r="E33" s="26"/>
    </row>
    <row r="34" spans="1:5" x14ac:dyDescent="0.15">
      <c r="A34" s="15"/>
      <c r="B34" s="21" t="s">
        <v>64</v>
      </c>
      <c r="C34" s="42"/>
      <c r="D34" s="24"/>
      <c r="E34" s="24"/>
    </row>
    <row r="35" spans="1:5" ht="45" x14ac:dyDescent="0.15">
      <c r="A35" s="16">
        <f>IF(LEN(B35)&gt;1,ROW()-ROW(A$1)-COUNTBLANK(A$2:A34),"")</f>
        <v>29</v>
      </c>
      <c r="B35" s="20" t="s">
        <v>281</v>
      </c>
      <c r="C35" s="45" t="s">
        <v>263</v>
      </c>
      <c r="D35" s="30" t="s">
        <v>328</v>
      </c>
      <c r="E35" s="27"/>
    </row>
    <row r="36" spans="1:5" x14ac:dyDescent="0.15">
      <c r="A36" s="16">
        <f>IF(LEN(B36)&gt;1,ROW()-ROW(A$1)-COUNTBLANK(A$2:A35),"")</f>
        <v>30</v>
      </c>
      <c r="B36" s="19" t="s">
        <v>16</v>
      </c>
      <c r="C36" s="43" t="s">
        <v>6</v>
      </c>
      <c r="D36" s="26" t="s">
        <v>293</v>
      </c>
      <c r="E36" s="26" t="s">
        <v>368</v>
      </c>
    </row>
    <row r="37" spans="1:5" x14ac:dyDescent="0.15">
      <c r="A37" s="16">
        <f>IF(LEN(B37)&gt;1,ROW()-ROW(A$1)-COUNTBLANK(A$2:A36),"")</f>
        <v>31</v>
      </c>
      <c r="B37" s="19" t="s">
        <v>132</v>
      </c>
      <c r="C37" s="43" t="s">
        <v>108</v>
      </c>
      <c r="D37" s="26" t="s">
        <v>133</v>
      </c>
      <c r="E37" s="26"/>
    </row>
    <row r="38" spans="1:5" x14ac:dyDescent="0.15">
      <c r="A38" s="16">
        <f>IF(LEN(B38)&gt;1,ROW()-ROW(A$1)-COUNTBLANK(A$2:A37),"")</f>
        <v>32</v>
      </c>
      <c r="B38" s="19" t="s">
        <v>35</v>
      </c>
      <c r="C38" s="43" t="s">
        <v>9</v>
      </c>
      <c r="D38" s="26" t="s">
        <v>282</v>
      </c>
      <c r="E38" s="26" t="s">
        <v>36</v>
      </c>
    </row>
    <row r="39" spans="1:5" x14ac:dyDescent="0.15">
      <c r="A39" s="16">
        <f>IF(LEN(B39)&gt;1,ROW()-ROW(A$1)-COUNTBLANK(A$2:A38),"")</f>
        <v>33</v>
      </c>
      <c r="B39" s="19" t="s">
        <v>138</v>
      </c>
      <c r="C39" s="43" t="s">
        <v>108</v>
      </c>
      <c r="D39" s="26" t="s">
        <v>139</v>
      </c>
      <c r="E39" s="26"/>
    </row>
    <row r="40" spans="1:5" ht="45" x14ac:dyDescent="0.15">
      <c r="A40" s="16">
        <f>IF(LEN(B40)&gt;1,ROW()-ROW(A$1)-COUNTBLANK(A$2:A39),"")</f>
        <v>34</v>
      </c>
      <c r="B40" s="19" t="s">
        <v>163</v>
      </c>
      <c r="C40" s="43" t="s">
        <v>113</v>
      </c>
      <c r="D40" s="25" t="s">
        <v>294</v>
      </c>
      <c r="E40" s="25" t="s">
        <v>367</v>
      </c>
    </row>
    <row r="41" spans="1:5" x14ac:dyDescent="0.15">
      <c r="A41" s="16">
        <f>IF(LEN(B41)&gt;1,ROW()-ROW(A$1)-COUNTBLANK(A$2:A40),"")</f>
        <v>35</v>
      </c>
      <c r="B41" s="19" t="s">
        <v>65</v>
      </c>
      <c r="C41" s="43" t="s">
        <v>12</v>
      </c>
      <c r="D41" s="26" t="s">
        <v>327</v>
      </c>
      <c r="E41" s="26" t="s">
        <v>66</v>
      </c>
    </row>
    <row r="42" spans="1:5" x14ac:dyDescent="0.15">
      <c r="A42" s="15"/>
      <c r="B42" s="21" t="s">
        <v>67</v>
      </c>
      <c r="C42" s="42"/>
      <c r="D42" s="24"/>
      <c r="E42" s="24"/>
    </row>
    <row r="43" spans="1:5" x14ac:dyDescent="0.15">
      <c r="A43" s="16">
        <f>IF(LEN(B43)&gt;1,ROW()-ROW(A$1)-COUNTBLANK(A$2:A42),"")</f>
        <v>36</v>
      </c>
      <c r="B43" s="19" t="s">
        <v>68</v>
      </c>
      <c r="C43" s="43" t="s">
        <v>12</v>
      </c>
      <c r="D43" s="25" t="s">
        <v>295</v>
      </c>
      <c r="E43" s="26"/>
    </row>
    <row r="44" spans="1:5" x14ac:dyDescent="0.15">
      <c r="A44" s="16">
        <f>IF(LEN(B44)&gt;1,ROW()-ROW(A$1)-COUNTBLANK(A$2:A43),"")</f>
        <v>37</v>
      </c>
      <c r="B44" s="19" t="s">
        <v>69</v>
      </c>
      <c r="C44" s="43" t="s">
        <v>6</v>
      </c>
      <c r="D44" s="26" t="s">
        <v>70</v>
      </c>
      <c r="E44" s="26"/>
    </row>
    <row r="45" spans="1:5" x14ac:dyDescent="0.15">
      <c r="A45" s="15"/>
      <c r="B45" s="21" t="s">
        <v>71</v>
      </c>
      <c r="C45" s="42"/>
      <c r="D45" s="24"/>
      <c r="E45" s="24"/>
    </row>
    <row r="46" spans="1:5" ht="56.25" x14ac:dyDescent="0.15">
      <c r="A46" s="16">
        <f>IF(LEN(B46)&gt;1,ROW()-ROW(A$1)-COUNTBLANK(A$2:A45),"")</f>
        <v>38</v>
      </c>
      <c r="B46" s="20" t="s">
        <v>343</v>
      </c>
      <c r="C46" s="46" t="s">
        <v>346</v>
      </c>
      <c r="D46" s="30" t="s">
        <v>353</v>
      </c>
      <c r="E46" s="30" t="s">
        <v>347</v>
      </c>
    </row>
    <row r="47" spans="1:5" x14ac:dyDescent="0.15">
      <c r="A47" s="16">
        <f>IF(LEN(B47)&gt;1,ROW()-ROW(A$1)-COUNTBLANK(A$2:A46),"")</f>
        <v>39</v>
      </c>
      <c r="B47" s="19" t="s">
        <v>8</v>
      </c>
      <c r="C47" s="43" t="s">
        <v>9</v>
      </c>
      <c r="D47" s="26" t="s">
        <v>10</v>
      </c>
      <c r="E47" s="26"/>
    </row>
    <row r="48" spans="1:5" x14ac:dyDescent="0.15">
      <c r="A48" s="15"/>
      <c r="B48" s="21" t="s">
        <v>72</v>
      </c>
      <c r="C48" s="42"/>
      <c r="D48" s="24"/>
      <c r="E48" s="24"/>
    </row>
    <row r="49" spans="1:5" ht="22.5" x14ac:dyDescent="0.15">
      <c r="A49" s="16">
        <f>IF(LEN(B49)&gt;1,ROW()-ROW(A$1)-COUNTBLANK(A$2:A48),"")</f>
        <v>40</v>
      </c>
      <c r="B49" s="19" t="s">
        <v>142</v>
      </c>
      <c r="C49" s="43" t="s">
        <v>116</v>
      </c>
      <c r="D49" s="25" t="s">
        <v>296</v>
      </c>
      <c r="E49" s="25" t="s">
        <v>143</v>
      </c>
    </row>
    <row r="50" spans="1:5" x14ac:dyDescent="0.15">
      <c r="A50" s="15"/>
      <c r="B50" s="21" t="s">
        <v>73</v>
      </c>
      <c r="C50" s="42"/>
      <c r="D50" s="24"/>
      <c r="E50" s="24"/>
    </row>
    <row r="51" spans="1:5" x14ac:dyDescent="0.15">
      <c r="A51" s="16">
        <f>IF(LEN(B51)&gt;1,ROW()-ROW(A$1)-COUNTBLANK(A$2:A50),"")</f>
        <v>41</v>
      </c>
      <c r="B51" s="20" t="s">
        <v>329</v>
      </c>
      <c r="C51" s="45" t="s">
        <v>331</v>
      </c>
      <c r="D51" s="27" t="s">
        <v>330</v>
      </c>
      <c r="E51" s="27"/>
    </row>
    <row r="52" spans="1:5" ht="56.25" x14ac:dyDescent="0.15">
      <c r="A52" s="16">
        <f>IF(LEN(B52)&gt;1,ROW()-ROW(A$1)-COUNTBLANK(A$2:A51),"")</f>
        <v>42</v>
      </c>
      <c r="B52" s="19" t="s">
        <v>128</v>
      </c>
      <c r="C52" s="44" t="s">
        <v>121</v>
      </c>
      <c r="D52" s="25" t="s">
        <v>354</v>
      </c>
      <c r="E52" s="25" t="s">
        <v>366</v>
      </c>
    </row>
    <row r="53" spans="1:5" ht="22.5" x14ac:dyDescent="0.15">
      <c r="A53" s="13">
        <f>IF(LEN(B53)&gt;1,ROW()-ROW(A$1)-COUNTBLANK(A$2:A52),"")</f>
        <v>43</v>
      </c>
      <c r="B53" s="19" t="s">
        <v>160</v>
      </c>
      <c r="C53" s="44" t="s">
        <v>161</v>
      </c>
      <c r="D53" s="25" t="s">
        <v>162</v>
      </c>
      <c r="E53" s="25"/>
    </row>
    <row r="54" spans="1:5" ht="22.5" x14ac:dyDescent="0.15">
      <c r="A54" s="13">
        <f>IF(LEN(B54)&gt;1,ROW()-ROW(A$1)-COUNTBLANK(A$2:A53),"")</f>
        <v>44</v>
      </c>
      <c r="B54" s="19" t="s">
        <v>129</v>
      </c>
      <c r="C54" s="44" t="s">
        <v>117</v>
      </c>
      <c r="D54" s="25" t="s">
        <v>118</v>
      </c>
      <c r="E54" s="25" t="s">
        <v>355</v>
      </c>
    </row>
    <row r="55" spans="1:5" ht="22.5" x14ac:dyDescent="0.15">
      <c r="A55" s="13">
        <f>IF(LEN(B55)&gt;1,ROW()-ROW(A$1)-COUNTBLANK(A$2:A54),"")</f>
        <v>45</v>
      </c>
      <c r="B55" s="19" t="s">
        <v>165</v>
      </c>
      <c r="C55" s="44" t="s">
        <v>116</v>
      </c>
      <c r="D55" s="25" t="s">
        <v>297</v>
      </c>
      <c r="E55" s="25" t="s">
        <v>356</v>
      </c>
    </row>
    <row r="56" spans="1:5" x14ac:dyDescent="0.15">
      <c r="A56" s="13">
        <f>IF(LEN(B56)&gt;1,ROW()-ROW(A$1)-COUNTBLANK(A$2:A55),"")</f>
        <v>46</v>
      </c>
      <c r="B56" s="19" t="s">
        <v>74</v>
      </c>
      <c r="C56" s="43" t="s">
        <v>12</v>
      </c>
      <c r="D56" s="26" t="s">
        <v>298</v>
      </c>
      <c r="E56" s="26"/>
    </row>
    <row r="57" spans="1:5" ht="22.5" x14ac:dyDescent="0.15">
      <c r="A57" s="13">
        <f>IF(LEN(B57)&gt;1,ROW()-ROW(A$1)-COUNTBLANK(A$2:A56),"")</f>
        <v>47</v>
      </c>
      <c r="B57" s="19" t="s">
        <v>152</v>
      </c>
      <c r="C57" s="44" t="s">
        <v>155</v>
      </c>
      <c r="D57" s="25" t="s">
        <v>156</v>
      </c>
      <c r="E57" s="26"/>
    </row>
    <row r="58" spans="1:5" x14ac:dyDescent="0.15">
      <c r="A58" s="15"/>
      <c r="B58" s="21" t="s">
        <v>75</v>
      </c>
      <c r="C58" s="42"/>
      <c r="D58" s="24"/>
      <c r="E58" s="24"/>
    </row>
    <row r="59" spans="1:5" x14ac:dyDescent="0.15">
      <c r="A59" s="15"/>
      <c r="B59" s="21" t="s">
        <v>76</v>
      </c>
      <c r="C59" s="42"/>
      <c r="D59" s="24"/>
      <c r="E59" s="24"/>
    </row>
    <row r="60" spans="1:5" ht="33.75" x14ac:dyDescent="0.15">
      <c r="A60" s="16">
        <f>IF(LEN(B60)&gt;1,ROW()-ROW(A$1)-COUNTBLANK(A$2:A59),"")</f>
        <v>48</v>
      </c>
      <c r="B60" s="19" t="s">
        <v>179</v>
      </c>
      <c r="C60" s="43" t="s">
        <v>113</v>
      </c>
      <c r="D60" s="25" t="s">
        <v>299</v>
      </c>
      <c r="E60" s="25" t="s">
        <v>180</v>
      </c>
    </row>
    <row r="61" spans="1:5" x14ac:dyDescent="0.15">
      <c r="A61" s="15"/>
      <c r="B61" s="21" t="s">
        <v>77</v>
      </c>
      <c r="C61" s="42"/>
      <c r="D61" s="24"/>
      <c r="E61" s="24"/>
    </row>
    <row r="62" spans="1:5" ht="22.5" x14ac:dyDescent="0.15">
      <c r="A62" s="16">
        <f>IF(LEN(B62)&gt;1,ROW()-ROW(A$1)-COUNTBLANK(A$2:A61),"")</f>
        <v>49</v>
      </c>
      <c r="B62" s="19" t="s">
        <v>153</v>
      </c>
      <c r="C62" s="43" t="s">
        <v>116</v>
      </c>
      <c r="D62" s="25" t="s">
        <v>154</v>
      </c>
      <c r="E62" s="26"/>
    </row>
    <row r="63" spans="1:5" ht="22.5" x14ac:dyDescent="0.15">
      <c r="A63" s="13">
        <f>IF(LEN(B63)&gt;1,ROW()-ROW(A$1)-COUNTBLANK(A$2:A62),"")</f>
        <v>50</v>
      </c>
      <c r="B63" s="19" t="s">
        <v>43</v>
      </c>
      <c r="C63" s="43" t="s">
        <v>12</v>
      </c>
      <c r="D63" s="25" t="s">
        <v>300</v>
      </c>
      <c r="E63" s="26"/>
    </row>
    <row r="64" spans="1:5" x14ac:dyDescent="0.15">
      <c r="A64" s="15"/>
      <c r="B64" s="21" t="s">
        <v>78</v>
      </c>
      <c r="C64" s="42"/>
      <c r="D64" s="24"/>
      <c r="E64" s="24"/>
    </row>
    <row r="65" spans="1:5" ht="56.25" x14ac:dyDescent="0.15">
      <c r="A65" s="16">
        <f>IF(LEN(B65)&gt;1,ROW()-ROW(A$1)-COUNTBLANK(A$2:A64),"")</f>
        <v>51</v>
      </c>
      <c r="B65" s="19" t="s">
        <v>31</v>
      </c>
      <c r="C65" s="43" t="s">
        <v>12</v>
      </c>
      <c r="D65" s="25" t="s">
        <v>301</v>
      </c>
      <c r="E65" s="25" t="s">
        <v>365</v>
      </c>
    </row>
    <row r="66" spans="1:5" ht="22.5" x14ac:dyDescent="0.15">
      <c r="A66" s="13">
        <f>IF(LEN(B66)&gt;1,ROW()-ROW(A$1)-COUNTBLANK(A$2:A65),"")</f>
        <v>52</v>
      </c>
      <c r="B66" s="19" t="s">
        <v>130</v>
      </c>
      <c r="C66" s="43" t="s">
        <v>114</v>
      </c>
      <c r="D66" s="25" t="s">
        <v>115</v>
      </c>
      <c r="E66" s="25" t="s">
        <v>364</v>
      </c>
    </row>
    <row r="67" spans="1:5" x14ac:dyDescent="0.15">
      <c r="A67" s="13">
        <f>IF(LEN(B67)&gt;1,ROW()-ROW(A$1)-COUNTBLANK(A$2:A66),"")</f>
        <v>53</v>
      </c>
      <c r="B67" s="19" t="s">
        <v>172</v>
      </c>
      <c r="C67" s="43" t="s">
        <v>114</v>
      </c>
      <c r="D67" s="25" t="s">
        <v>173</v>
      </c>
      <c r="E67" s="25"/>
    </row>
    <row r="68" spans="1:5" x14ac:dyDescent="0.15">
      <c r="A68" s="15"/>
      <c r="B68" s="21" t="s">
        <v>79</v>
      </c>
      <c r="C68" s="42"/>
      <c r="D68" s="24"/>
      <c r="E68" s="24"/>
    </row>
    <row r="69" spans="1:5" x14ac:dyDescent="0.15">
      <c r="A69" s="15"/>
      <c r="B69" s="21" t="s">
        <v>80</v>
      </c>
      <c r="C69" s="42"/>
      <c r="D69" s="24"/>
      <c r="E69" s="24"/>
    </row>
    <row r="70" spans="1:5" x14ac:dyDescent="0.15">
      <c r="A70" s="16">
        <f>IF(LEN(B70)&gt;1,ROW()-ROW(A$1)-COUNTBLANK(A$2:A69),"")</f>
        <v>54</v>
      </c>
      <c r="B70" s="19" t="s">
        <v>37</v>
      </c>
      <c r="C70" s="43" t="s">
        <v>9</v>
      </c>
      <c r="D70" s="26" t="s">
        <v>302</v>
      </c>
      <c r="E70" s="26" t="s">
        <v>38</v>
      </c>
    </row>
    <row r="71" spans="1:5" x14ac:dyDescent="0.15">
      <c r="A71" s="15"/>
      <c r="B71" s="21" t="s">
        <v>81</v>
      </c>
      <c r="C71" s="42"/>
      <c r="D71" s="24"/>
      <c r="E71" s="24"/>
    </row>
    <row r="72" spans="1:5" x14ac:dyDescent="0.15">
      <c r="A72" s="16">
        <f>IF(LEN(B72)&gt;1,ROW()-ROW(A$1)-COUNTBLANK(A$2:A71),"")</f>
        <v>55</v>
      </c>
      <c r="B72" s="19" t="s">
        <v>82</v>
      </c>
      <c r="C72" s="43" t="s">
        <v>9</v>
      </c>
      <c r="D72" s="26" t="s">
        <v>83</v>
      </c>
      <c r="E72" s="26"/>
    </row>
    <row r="73" spans="1:5" x14ac:dyDescent="0.15">
      <c r="A73" s="13">
        <f>IF(LEN(B73)&gt;1,ROW()-ROW(A$1)-COUNTBLANK(A$2:A72),"")</f>
        <v>56</v>
      </c>
      <c r="B73" s="19" t="s">
        <v>14</v>
      </c>
      <c r="C73" s="43" t="s">
        <v>6</v>
      </c>
      <c r="D73" s="26" t="s">
        <v>303</v>
      </c>
      <c r="E73" s="26"/>
    </row>
    <row r="74" spans="1:5" x14ac:dyDescent="0.15">
      <c r="A74" s="13">
        <f>IF(LEN(B74)&gt;1,ROW()-ROW(A$1)-COUNTBLANK(A$2:A73),"")</f>
        <v>57</v>
      </c>
      <c r="B74" s="19" t="s">
        <v>84</v>
      </c>
      <c r="C74" s="43" t="s">
        <v>15</v>
      </c>
      <c r="D74" s="26" t="s">
        <v>304</v>
      </c>
      <c r="E74" s="26"/>
    </row>
    <row r="75" spans="1:5" x14ac:dyDescent="0.15">
      <c r="A75" s="13">
        <f>IF(LEN(B75)&gt;1,ROW()-ROW(A$1)-COUNTBLANK(A$2:A74),"")</f>
        <v>58</v>
      </c>
      <c r="B75" s="22" t="s">
        <v>85</v>
      </c>
      <c r="C75" s="43" t="s">
        <v>9</v>
      </c>
      <c r="D75" s="26" t="s">
        <v>305</v>
      </c>
      <c r="E75" s="26"/>
    </row>
    <row r="76" spans="1:5" ht="33.75" x14ac:dyDescent="0.15">
      <c r="A76" s="13">
        <f>IF(LEN(B76)&gt;1,ROW()-ROW(A$1)-COUNTBLANK(A$2:A75),"")</f>
        <v>59</v>
      </c>
      <c r="B76" s="22" t="s">
        <v>131</v>
      </c>
      <c r="C76" s="43" t="s">
        <v>114</v>
      </c>
      <c r="D76" s="26" t="s">
        <v>119</v>
      </c>
      <c r="E76" s="25" t="s">
        <v>120</v>
      </c>
    </row>
    <row r="77" spans="1:5" x14ac:dyDescent="0.15">
      <c r="A77" s="13">
        <f>IF(LEN(B77)&gt;1,ROW()-ROW(A$1)-COUNTBLANK(A$2:A76),"")</f>
        <v>60</v>
      </c>
      <c r="B77" s="19" t="s">
        <v>22</v>
      </c>
      <c r="C77" s="43" t="s">
        <v>9</v>
      </c>
      <c r="D77" s="26" t="s">
        <v>306</v>
      </c>
      <c r="E77" s="26"/>
    </row>
    <row r="78" spans="1:5" x14ac:dyDescent="0.15">
      <c r="A78" s="13">
        <f>IF(LEN(B78)&gt;1,ROW()-ROW(A$1)-COUNTBLANK(A$2:A77),"")</f>
        <v>61</v>
      </c>
      <c r="B78" s="19" t="s">
        <v>23</v>
      </c>
      <c r="C78" s="43" t="s">
        <v>6</v>
      </c>
      <c r="D78" s="26" t="s">
        <v>24</v>
      </c>
      <c r="E78" s="26"/>
    </row>
    <row r="79" spans="1:5" ht="22.5" x14ac:dyDescent="0.15">
      <c r="A79" s="16">
        <f>IF(LEN(B79)&gt;1,ROW()-ROW(A$1)-COUNTBLANK(A$2:A78),"")</f>
        <v>62</v>
      </c>
      <c r="B79" s="20" t="s">
        <v>348</v>
      </c>
      <c r="C79" s="45" t="s">
        <v>349</v>
      </c>
      <c r="D79" s="30" t="s">
        <v>350</v>
      </c>
      <c r="E79" s="27"/>
    </row>
    <row r="80" spans="1:5" x14ac:dyDescent="0.15">
      <c r="A80" s="13">
        <f>IF(LEN(B80)&gt;1,ROW()-ROW(A$1)-COUNTBLANK(A$2:A79),"")</f>
        <v>63</v>
      </c>
      <c r="B80" s="19" t="s">
        <v>269</v>
      </c>
      <c r="C80" s="43" t="s">
        <v>114</v>
      </c>
      <c r="D80" s="26" t="s">
        <v>171</v>
      </c>
      <c r="E80" s="25"/>
    </row>
    <row r="81" spans="1:5" x14ac:dyDescent="0.15">
      <c r="A81" s="16">
        <f>IF(LEN(B81)&gt;1,ROW()-ROW(A$1)-COUNTBLANK(A$2:A80),"")</f>
        <v>64</v>
      </c>
      <c r="B81" s="20" t="s">
        <v>266</v>
      </c>
      <c r="C81" s="45" t="s">
        <v>267</v>
      </c>
      <c r="D81" s="27" t="s">
        <v>268</v>
      </c>
      <c r="E81" s="30"/>
    </row>
    <row r="82" spans="1:5" ht="22.5" x14ac:dyDescent="0.15">
      <c r="A82" s="13">
        <f>IF(LEN(B82)&gt;1,ROW()-ROW(A$1)-COUNTBLANK(A$2:A81),"")</f>
        <v>65</v>
      </c>
      <c r="B82" s="19" t="s">
        <v>25</v>
      </c>
      <c r="C82" s="43" t="s">
        <v>9</v>
      </c>
      <c r="D82" s="41" t="s">
        <v>307</v>
      </c>
      <c r="E82" s="25" t="s">
        <v>26</v>
      </c>
    </row>
    <row r="83" spans="1:5" ht="22.5" x14ac:dyDescent="0.15">
      <c r="A83" s="13">
        <f>IF(LEN(B83)&gt;1,ROW()-ROW(A$1)-COUNTBLANK(A$2:A82),"")</f>
        <v>66</v>
      </c>
      <c r="B83" s="19" t="s">
        <v>27</v>
      </c>
      <c r="C83" s="43" t="s">
        <v>28</v>
      </c>
      <c r="D83" s="26" t="s">
        <v>29</v>
      </c>
      <c r="E83" s="25" t="s">
        <v>30</v>
      </c>
    </row>
    <row r="84" spans="1:5" x14ac:dyDescent="0.15">
      <c r="A84" s="13">
        <f>IF(LEN(B84)&gt;1,ROW()-ROW(A$1)-COUNTBLANK(A$2:A83),"")</f>
        <v>67</v>
      </c>
      <c r="B84" s="19" t="s">
        <v>166</v>
      </c>
      <c r="C84" s="43" t="s">
        <v>114</v>
      </c>
      <c r="D84" s="26" t="s">
        <v>167</v>
      </c>
      <c r="E84" s="25"/>
    </row>
    <row r="85" spans="1:5" x14ac:dyDescent="0.15">
      <c r="A85" s="15"/>
      <c r="B85" s="21" t="s">
        <v>86</v>
      </c>
      <c r="C85" s="42"/>
      <c r="D85" s="24"/>
      <c r="E85" s="24"/>
    </row>
    <row r="86" spans="1:5" x14ac:dyDescent="0.15">
      <c r="A86" s="13">
        <f>IF(LEN(B86)&gt;1,ROW()-ROW(A$1)-COUNTBLANK(A$2:A85),"")</f>
        <v>68</v>
      </c>
      <c r="B86" s="19" t="s">
        <v>134</v>
      </c>
      <c r="C86" s="43" t="s">
        <v>108</v>
      </c>
      <c r="D86" s="26" t="s">
        <v>135</v>
      </c>
      <c r="E86" s="26"/>
    </row>
    <row r="87" spans="1:5" x14ac:dyDescent="0.15">
      <c r="A87" s="13">
        <f>IF(LEN(B86)&gt;1,ROW()-ROW(A$1)-COUNTBLANK(A$2:A86),"")</f>
        <v>69</v>
      </c>
      <c r="B87" s="19" t="s">
        <v>87</v>
      </c>
      <c r="C87" s="43" t="s">
        <v>12</v>
      </c>
      <c r="D87" s="26" t="s">
        <v>88</v>
      </c>
      <c r="E87" s="26"/>
    </row>
    <row r="88" spans="1:5" x14ac:dyDescent="0.15">
      <c r="A88" s="15"/>
      <c r="B88" s="21" t="s">
        <v>89</v>
      </c>
      <c r="C88" s="42"/>
      <c r="D88" s="24"/>
      <c r="E88" s="24"/>
    </row>
    <row r="89" spans="1:5" x14ac:dyDescent="0.15">
      <c r="A89" s="16">
        <f>IF(LEN(B89)&gt;1,ROW()-ROW(A$1)-COUNTBLANK(A$2:A88),"")</f>
        <v>70</v>
      </c>
      <c r="B89" s="19" t="s">
        <v>11</v>
      </c>
      <c r="C89" s="43" t="s">
        <v>12</v>
      </c>
      <c r="D89" s="26" t="s">
        <v>13</v>
      </c>
      <c r="E89" s="26"/>
    </row>
    <row r="90" spans="1:5" ht="67.5" x14ac:dyDescent="0.15">
      <c r="A90" s="13">
        <f>IF(LEN(B90)&gt;1,ROW()-ROW(A$1)-COUNTBLANK(A$2:A89),"")</f>
        <v>71</v>
      </c>
      <c r="B90" s="19" t="s">
        <v>170</v>
      </c>
      <c r="C90" s="43" t="s">
        <v>116</v>
      </c>
      <c r="D90" s="25" t="s">
        <v>362</v>
      </c>
      <c r="E90" s="25" t="s">
        <v>361</v>
      </c>
    </row>
    <row r="91" spans="1:5" ht="22.5" x14ac:dyDescent="0.15">
      <c r="A91" s="13">
        <f>IF(LEN(B91)&gt;1,ROW()-ROW(A$1)-COUNTBLANK(A$2:A90),"")</f>
        <v>72</v>
      </c>
      <c r="B91" s="19" t="s">
        <v>177</v>
      </c>
      <c r="C91" s="43" t="s">
        <v>116</v>
      </c>
      <c r="D91" s="26" t="s">
        <v>363</v>
      </c>
      <c r="E91" s="25" t="s">
        <v>357</v>
      </c>
    </row>
    <row r="92" spans="1:5" x14ac:dyDescent="0.15">
      <c r="A92" s="13">
        <f>IF(LEN(B92)&gt;1,ROW()-ROW(A$1)-COUNTBLANK(A$2:A91),"")</f>
        <v>73</v>
      </c>
      <c r="B92" s="19" t="s">
        <v>273</v>
      </c>
      <c r="C92" s="43" t="s">
        <v>116</v>
      </c>
      <c r="D92" s="26" t="s">
        <v>151</v>
      </c>
      <c r="E92" s="26"/>
    </row>
    <row r="93" spans="1:5" ht="22.5" x14ac:dyDescent="0.15">
      <c r="A93" s="13">
        <f>IF(LEN(B93)&gt;1,ROW()-ROW(A$1)-COUNTBLANK(A$2:A92),"")</f>
        <v>74</v>
      </c>
      <c r="B93" s="19" t="s">
        <v>90</v>
      </c>
      <c r="C93" s="44" t="s">
        <v>62</v>
      </c>
      <c r="D93" s="25" t="s">
        <v>270</v>
      </c>
      <c r="E93" s="25" t="s">
        <v>358</v>
      </c>
    </row>
    <row r="94" spans="1:5" x14ac:dyDescent="0.15">
      <c r="A94" s="13">
        <f>IF(LEN(B94)&gt;1,ROW()-ROW(A$1)-COUNTBLANK(A$2:A93),"")</f>
        <v>75</v>
      </c>
      <c r="B94" s="19" t="s">
        <v>39</v>
      </c>
      <c r="C94" s="43" t="s">
        <v>12</v>
      </c>
      <c r="D94" s="26" t="s">
        <v>308</v>
      </c>
      <c r="E94" s="26" t="s">
        <v>40</v>
      </c>
    </row>
    <row r="95" spans="1:5" x14ac:dyDescent="0.15">
      <c r="A95" s="15"/>
      <c r="B95" s="21" t="s">
        <v>91</v>
      </c>
      <c r="C95" s="42"/>
      <c r="D95" s="24"/>
      <c r="E95" s="24"/>
    </row>
    <row r="96" spans="1:5" ht="33.75" x14ac:dyDescent="0.15">
      <c r="A96" s="16">
        <f>IF(LEN(B96)&gt;1,ROW()-ROW(A$1)-COUNTBLANK(A$2:A95),"")</f>
        <v>76</v>
      </c>
      <c r="B96" s="20" t="s">
        <v>271</v>
      </c>
      <c r="C96" s="45" t="s">
        <v>272</v>
      </c>
      <c r="D96" s="30" t="s">
        <v>309</v>
      </c>
      <c r="E96" s="27"/>
    </row>
    <row r="97" spans="1:5" x14ac:dyDescent="0.15">
      <c r="A97" s="13">
        <f>IF(LEN(B97)&gt;1,ROW()-ROW(A$1)-COUNTBLANK(A$2:A96),"")</f>
        <v>77</v>
      </c>
      <c r="B97" s="19" t="s">
        <v>92</v>
      </c>
      <c r="C97" s="43" t="s">
        <v>9</v>
      </c>
      <c r="D97" s="26" t="s">
        <v>310</v>
      </c>
      <c r="E97" s="26"/>
    </row>
    <row r="98" spans="1:5" x14ac:dyDescent="0.15">
      <c r="A98" s="13">
        <f>IF(LEN(B98)&gt;1,ROW()-ROW(A$1)-COUNTBLANK(A$2:A97),"")</f>
        <v>78</v>
      </c>
      <c r="B98" s="19" t="s">
        <v>186</v>
      </c>
      <c r="C98" s="43" t="s">
        <v>116</v>
      </c>
      <c r="D98" s="26" t="s">
        <v>181</v>
      </c>
      <c r="E98" s="26"/>
    </row>
    <row r="99" spans="1:5" x14ac:dyDescent="0.15">
      <c r="A99" s="13">
        <f>IF(LEN(B99)&gt;1,ROW()-ROW(A$1)-COUNTBLANK(A$2:A98),"")</f>
        <v>79</v>
      </c>
      <c r="B99" s="19" t="s">
        <v>20</v>
      </c>
      <c r="C99" s="43" t="s">
        <v>6</v>
      </c>
      <c r="D99" s="26" t="s">
        <v>21</v>
      </c>
      <c r="E99" s="26"/>
    </row>
    <row r="100" spans="1:5" x14ac:dyDescent="0.15">
      <c r="A100" s="13">
        <f>IF(LEN(B100)&gt;1,ROW()-ROW(A$1)-COUNTBLANK(A$2:A99),"")</f>
        <v>80</v>
      </c>
      <c r="B100" s="19" t="s">
        <v>93</v>
      </c>
      <c r="C100" s="43" t="s">
        <v>28</v>
      </c>
      <c r="D100" s="26" t="s">
        <v>94</v>
      </c>
      <c r="E100" s="26"/>
    </row>
    <row r="101" spans="1:5" x14ac:dyDescent="0.15">
      <c r="A101" s="13">
        <f>IF(LEN(B101)&gt;1,ROW()-ROW(A$1)-COUNTBLANK(A$2:A100),"")</f>
        <v>81</v>
      </c>
      <c r="B101" s="19" t="s">
        <v>95</v>
      </c>
      <c r="C101" s="43" t="s">
        <v>6</v>
      </c>
      <c r="D101" s="26" t="s">
        <v>96</v>
      </c>
      <c r="E101" s="26"/>
    </row>
    <row r="102" spans="1:5" x14ac:dyDescent="0.15">
      <c r="A102" s="13">
        <f>IF(LEN(B102)&gt;1,ROW()-ROW(A$1)-COUNTBLANK(A$2:A101),"")</f>
        <v>82</v>
      </c>
      <c r="B102" s="19" t="s">
        <v>187</v>
      </c>
      <c r="C102" s="43" t="s">
        <v>114</v>
      </c>
      <c r="D102" s="26" t="s">
        <v>144</v>
      </c>
      <c r="E102" s="26"/>
    </row>
    <row r="103" spans="1:5" ht="45" x14ac:dyDescent="0.15">
      <c r="A103" s="13">
        <f>IF(LEN(B103)&gt;1,ROW()-ROW(A$1)-COUNTBLANK(A$2:A102),"")</f>
        <v>83</v>
      </c>
      <c r="B103" s="19" t="s">
        <v>188</v>
      </c>
      <c r="C103" s="44" t="s">
        <v>150</v>
      </c>
      <c r="D103" s="25" t="s">
        <v>149</v>
      </c>
      <c r="E103" s="25" t="s">
        <v>359</v>
      </c>
    </row>
    <row r="104" spans="1:5" x14ac:dyDescent="0.15">
      <c r="A104" s="16">
        <f>IF(LEN(B104)&gt;1,ROW()-ROW(A$1)-COUNTBLANK(A$2:A103),"")</f>
        <v>84</v>
      </c>
      <c r="B104" s="20" t="s">
        <v>262</v>
      </c>
      <c r="C104" s="46" t="s">
        <v>263</v>
      </c>
      <c r="D104" s="30" t="s">
        <v>311</v>
      </c>
      <c r="E104" s="30"/>
    </row>
    <row r="105" spans="1:5" ht="22.5" x14ac:dyDescent="0.15">
      <c r="A105" s="13">
        <f>IF(LEN(B105)&gt;1,ROW()-ROW(A$1)-COUNTBLANK(A$2:A104),"")</f>
        <v>85</v>
      </c>
      <c r="B105" s="19" t="s">
        <v>189</v>
      </c>
      <c r="C105" s="43" t="s">
        <v>116</v>
      </c>
      <c r="D105" s="25" t="s">
        <v>140</v>
      </c>
      <c r="E105" s="25" t="s">
        <v>141</v>
      </c>
    </row>
    <row r="106" spans="1:5" x14ac:dyDescent="0.15">
      <c r="A106" s="13">
        <f>IF(LEN(B106)&gt;1,ROW()-ROW(A$1)-COUNTBLANK(A$2:A105),"")</f>
        <v>86</v>
      </c>
      <c r="B106" s="19" t="s">
        <v>97</v>
      </c>
      <c r="C106" s="43" t="s">
        <v>12</v>
      </c>
      <c r="D106" s="26" t="s">
        <v>312</v>
      </c>
      <c r="E106" s="26"/>
    </row>
    <row r="107" spans="1:5" x14ac:dyDescent="0.15">
      <c r="A107" s="15"/>
      <c r="B107" s="21" t="s">
        <v>98</v>
      </c>
      <c r="C107" s="42"/>
      <c r="D107" s="24"/>
      <c r="E107" s="24"/>
    </row>
    <row r="108" spans="1:5" x14ac:dyDescent="0.15">
      <c r="A108" s="16">
        <f>IF(LEN(B108)&gt;1,ROW()-ROW(A$1)-COUNTBLANK(A$2:A107),"")</f>
        <v>87</v>
      </c>
      <c r="B108" s="20" t="s">
        <v>332</v>
      </c>
      <c r="C108" s="45" t="s">
        <v>333</v>
      </c>
      <c r="D108" s="27" t="s">
        <v>334</v>
      </c>
      <c r="E108" s="27"/>
    </row>
    <row r="109" spans="1:5" x14ac:dyDescent="0.15">
      <c r="A109" s="15" t="str">
        <f>IF(LEN(B109)&gt;1,ROW()-ROW(A$1)-COUNTBLANK(A$2:A108),"")</f>
        <v/>
      </c>
      <c r="B109" s="21" t="s">
        <v>99</v>
      </c>
      <c r="C109" s="42"/>
      <c r="D109" s="24"/>
      <c r="E109" s="24"/>
    </row>
    <row r="110" spans="1:5" ht="22.5" x14ac:dyDescent="0.15">
      <c r="A110" s="16">
        <f>IF(LEN(B110)&gt;1,ROW()-ROW(A$1)-COUNTBLANK(A$2:A109),"")</f>
        <v>88</v>
      </c>
      <c r="B110" s="20" t="s">
        <v>190</v>
      </c>
      <c r="C110" s="45" t="s">
        <v>182</v>
      </c>
      <c r="D110" s="30" t="s">
        <v>183</v>
      </c>
      <c r="E110" s="30" t="s">
        <v>184</v>
      </c>
    </row>
    <row r="111" spans="1:5" x14ac:dyDescent="0.15">
      <c r="A111" s="16">
        <f>IF(LEN(B111)&gt;1,ROW()-ROW(A$1)-COUNTBLANK(A$2:A110),"")</f>
        <v>89</v>
      </c>
      <c r="B111" s="19" t="s">
        <v>100</v>
      </c>
      <c r="C111" s="43" t="s">
        <v>9</v>
      </c>
      <c r="D111" s="26" t="s">
        <v>313</v>
      </c>
      <c r="E111" s="26" t="s">
        <v>101</v>
      </c>
    </row>
    <row r="112" spans="1:5" x14ac:dyDescent="0.15">
      <c r="A112" s="13">
        <f>IF(LEN(B112)&gt;1,ROW()-ROW(A$1)-COUNTBLANK(A$2:A111),"")</f>
        <v>90</v>
      </c>
      <c r="B112" s="19" t="s">
        <v>102</v>
      </c>
      <c r="C112" s="43" t="s">
        <v>9</v>
      </c>
      <c r="D112" s="26" t="s">
        <v>103</v>
      </c>
      <c r="E112" s="26"/>
    </row>
    <row r="113" spans="1:5" ht="33.75" x14ac:dyDescent="0.15">
      <c r="A113" s="13">
        <f>IF(LEN(B113)&gt;1,ROW()-ROW(A$1)-COUNTBLANK(A$2:A112),"")</f>
        <v>91</v>
      </c>
      <c r="B113" s="19" t="s">
        <v>191</v>
      </c>
      <c r="C113" s="43" t="s">
        <v>116</v>
      </c>
      <c r="D113" s="25" t="s">
        <v>157</v>
      </c>
      <c r="E113" s="25" t="s">
        <v>360</v>
      </c>
    </row>
    <row r="114" spans="1:5" x14ac:dyDescent="0.15">
      <c r="A114" s="15"/>
      <c r="B114" s="21" t="s">
        <v>194</v>
      </c>
      <c r="C114" s="42"/>
      <c r="D114" s="24"/>
      <c r="E114" s="24"/>
    </row>
    <row r="115" spans="1:5" x14ac:dyDescent="0.15">
      <c r="A115" s="15"/>
      <c r="B115" s="21" t="s">
        <v>104</v>
      </c>
      <c r="C115" s="42"/>
      <c r="D115" s="24"/>
      <c r="E115" s="24"/>
    </row>
    <row r="116" spans="1:5" x14ac:dyDescent="0.15">
      <c r="A116" s="15"/>
      <c r="B116" s="21" t="s">
        <v>105</v>
      </c>
      <c r="C116" s="42"/>
      <c r="D116" s="24"/>
      <c r="E116" s="24"/>
    </row>
    <row r="117" spans="1:5" x14ac:dyDescent="0.15">
      <c r="A117" s="15" t="str">
        <f>IF(LEN(B115)&gt;1,ROW()-ROW(A$1)-COUNTBLANK(A$2:A116),"")</f>
        <v/>
      </c>
      <c r="B117" s="21" t="s">
        <v>106</v>
      </c>
      <c r="C117" s="42"/>
      <c r="D117" s="24"/>
      <c r="E117" s="24"/>
    </row>
    <row r="118" spans="1:5" x14ac:dyDescent="0.15">
      <c r="A118" s="15" t="str">
        <f>IF(LEN(B116)&gt;1,ROW()-ROW(A$1)-COUNTBLANK(A$2:A117),"")</f>
        <v/>
      </c>
      <c r="B118" s="21" t="s">
        <v>107</v>
      </c>
      <c r="C118" s="42"/>
      <c r="D118" s="24"/>
      <c r="E118" s="24"/>
    </row>
    <row r="119" spans="1:5" x14ac:dyDescent="0.15">
      <c r="A119" s="13" t="str">
        <f>IF(LEN(B117)&gt;1,ROW()-ROW(A$1)-COUNTBLANK(A$2:A118),"")</f>
        <v/>
      </c>
      <c r="B119" s="19"/>
      <c r="C119" s="43"/>
      <c r="D119" s="26"/>
      <c r="E119" s="26"/>
    </row>
    <row r="120" spans="1:5" x14ac:dyDescent="0.15">
      <c r="A120" s="13" t="str">
        <f>IF(LEN(B118)&gt;1,ROW()-ROW(A$1)-COUNTBLANK(A$2:A119),"")</f>
        <v/>
      </c>
      <c r="B120" s="19"/>
      <c r="C120" s="43"/>
      <c r="D120" s="26"/>
      <c r="E120" s="26"/>
    </row>
    <row r="121" spans="1:5" x14ac:dyDescent="0.15">
      <c r="A121" s="13" t="str">
        <f>IF(LEN(B119)&gt;1,ROW()-ROW(A$1)-COUNTBLANK(A$2:A120),"")</f>
        <v/>
      </c>
      <c r="B121" s="19"/>
      <c r="C121" s="43"/>
      <c r="D121" s="26"/>
      <c r="E121" s="26"/>
    </row>
    <row r="122" spans="1:5" x14ac:dyDescent="0.15">
      <c r="A122" s="13" t="str">
        <f>IF(LEN(B120)&gt;1,ROW()-ROW(A$1)-COUNTBLANK(A$2:A121),"")</f>
        <v/>
      </c>
      <c r="B122" s="19"/>
      <c r="C122" s="43"/>
      <c r="D122" s="26"/>
      <c r="E122" s="26"/>
    </row>
    <row r="123" spans="1:5" x14ac:dyDescent="0.15">
      <c r="A123" s="13" t="str">
        <f>IF(LEN(B121)&gt;1,ROW()-ROW(A$1)-COUNTBLANK(A$2:A122),"")</f>
        <v/>
      </c>
      <c r="B123" s="19"/>
      <c r="C123" s="43"/>
      <c r="D123" s="26"/>
      <c r="E123" s="26"/>
    </row>
    <row r="124" spans="1:5" x14ac:dyDescent="0.15">
      <c r="A124" s="13" t="str">
        <f>IF(LEN(B122)&gt;1,ROW()-ROW(A$1)-COUNTBLANK(A$2:A123),"")</f>
        <v/>
      </c>
      <c r="B124" s="19"/>
      <c r="C124" s="43"/>
      <c r="D124" s="26"/>
      <c r="E124" s="26"/>
    </row>
    <row r="125" spans="1:5" x14ac:dyDescent="0.15">
      <c r="A125" s="13" t="str">
        <f>IF(LEN(B123)&gt;1,ROW()-ROW(A$1)-COUNTBLANK(A$2:A124),"")</f>
        <v/>
      </c>
      <c r="B125" s="19"/>
      <c r="C125" s="43"/>
      <c r="D125" s="26"/>
      <c r="E125" s="26"/>
    </row>
    <row r="126" spans="1:5" x14ac:dyDescent="0.15">
      <c r="A126" s="13" t="str">
        <f>IF(LEN(B124)&gt;1,ROW()-ROW(A$1)-COUNTBLANK(A$2:A125),"")</f>
        <v/>
      </c>
      <c r="B126" s="19"/>
      <c r="C126" s="43"/>
      <c r="D126" s="26"/>
      <c r="E126" s="26"/>
    </row>
    <row r="127" spans="1:5" x14ac:dyDescent="0.15">
      <c r="A127" s="13" t="str">
        <f>IF(LEN(B125)&gt;1,ROW()-ROW(A$1)-COUNTBLANK(A$2:A126),"")</f>
        <v/>
      </c>
      <c r="B127" s="19"/>
      <c r="C127" s="43"/>
      <c r="D127" s="26"/>
      <c r="E127" s="26"/>
    </row>
    <row r="128" spans="1:5" x14ac:dyDescent="0.15">
      <c r="A128" s="13" t="str">
        <f>IF(LEN(B126)&gt;1,ROW()-ROW(A$1)-COUNTBLANK(A$2:A127),"")</f>
        <v/>
      </c>
      <c r="B128" s="19"/>
      <c r="C128" s="43"/>
      <c r="D128" s="26"/>
      <c r="E128" s="26"/>
    </row>
    <row r="129" spans="1:5" x14ac:dyDescent="0.15">
      <c r="A129" s="13" t="str">
        <f>IF(LEN(B127)&gt;1,ROW()-ROW(A$1)-COUNTBLANK(A$2:A128),"")</f>
        <v/>
      </c>
      <c r="B129" s="19"/>
      <c r="C129" s="43"/>
      <c r="D129" s="26"/>
      <c r="E129" s="26"/>
    </row>
    <row r="130" spans="1:5" x14ac:dyDescent="0.15">
      <c r="A130" s="13" t="str">
        <f>IF(LEN(B128)&gt;1,ROW()-ROW(A$1)-COUNTBLANK(A$2:A129),"")</f>
        <v/>
      </c>
      <c r="B130" s="19"/>
      <c r="C130" s="43"/>
      <c r="D130" s="26"/>
      <c r="E130" s="26"/>
    </row>
    <row r="131" spans="1:5" x14ac:dyDescent="0.15">
      <c r="A131" s="13" t="str">
        <f>IF(LEN(B129)&gt;1,ROW()-ROW(A$1)-COUNTBLANK(A$2:A130),"")</f>
        <v/>
      </c>
      <c r="B131" s="19"/>
      <c r="C131" s="43"/>
      <c r="D131" s="26"/>
      <c r="E131" s="26"/>
    </row>
    <row r="132" spans="1:5" x14ac:dyDescent="0.15">
      <c r="A132" s="13" t="str">
        <f>IF(LEN(B130)&gt;1,ROW()-ROW(A$1)-COUNTBLANK(A$2:A131),"")</f>
        <v/>
      </c>
      <c r="B132" s="19"/>
      <c r="C132" s="43"/>
      <c r="D132" s="26"/>
      <c r="E132" s="26"/>
    </row>
    <row r="133" spans="1:5" x14ac:dyDescent="0.15">
      <c r="A133" s="13" t="str">
        <f>IF(LEN(B131)&gt;1,ROW()-ROW(A$1)-COUNTBLANK(A$2:A132),"")</f>
        <v/>
      </c>
      <c r="B133" s="19"/>
      <c r="C133" s="43"/>
      <c r="D133" s="26"/>
      <c r="E133" s="26"/>
    </row>
    <row r="134" spans="1:5" x14ac:dyDescent="0.15">
      <c r="A134" s="13" t="str">
        <f>IF(LEN(B132)&gt;1,ROW()-ROW(A$1)-COUNTBLANK(A$2:A133),"")</f>
        <v/>
      </c>
      <c r="B134" s="19"/>
      <c r="C134" s="43"/>
      <c r="D134" s="26"/>
      <c r="E134" s="26"/>
    </row>
    <row r="135" spans="1:5" x14ac:dyDescent="0.15">
      <c r="A135" s="13" t="str">
        <f>IF(LEN(B133)&gt;1,ROW()-ROW(A$1)-COUNTBLANK(A$2:A134),"")</f>
        <v/>
      </c>
      <c r="B135" s="19"/>
      <c r="C135" s="43"/>
      <c r="D135" s="26"/>
      <c r="E135" s="26"/>
    </row>
    <row r="136" spans="1:5" x14ac:dyDescent="0.15">
      <c r="A136" s="13" t="str">
        <f>IF(LEN(B134)&gt;1,ROW()-ROW(A$1)-COUNTBLANK(A$2:A135),"")</f>
        <v/>
      </c>
      <c r="B136" s="19"/>
      <c r="C136" s="43"/>
      <c r="D136" s="26"/>
      <c r="E136" s="26"/>
    </row>
    <row r="137" spans="1:5" x14ac:dyDescent="0.15">
      <c r="A137" s="13" t="str">
        <f>IF(LEN(B135)&gt;1,ROW()-ROW(A$1)-COUNTBLANK(A$2:A136),"")</f>
        <v/>
      </c>
      <c r="B137" s="19"/>
      <c r="C137" s="43"/>
      <c r="D137" s="26"/>
      <c r="E137" s="26"/>
    </row>
    <row r="138" spans="1:5" x14ac:dyDescent="0.15">
      <c r="A138" s="13" t="str">
        <f>IF(LEN(B136)&gt;1,ROW()-ROW(A$1)-COUNTBLANK(A$2:A137),"")</f>
        <v/>
      </c>
      <c r="B138" s="19"/>
      <c r="C138" s="43"/>
      <c r="D138" s="26"/>
      <c r="E138" s="26"/>
    </row>
    <row r="139" spans="1:5" x14ac:dyDescent="0.15">
      <c r="A139" s="13" t="str">
        <f>IF(LEN(B137)&gt;1,ROW()-ROW(A$1)-COUNTBLANK(A$2:A138),"")</f>
        <v/>
      </c>
      <c r="B139" s="19"/>
      <c r="C139" s="43"/>
      <c r="D139" s="26"/>
      <c r="E139" s="26"/>
    </row>
    <row r="140" spans="1:5" x14ac:dyDescent="0.15">
      <c r="A140" s="13" t="str">
        <f>IF(LEN(B138)&gt;1,ROW()-ROW(A$1)-COUNTBLANK(A$2:A139),"")</f>
        <v/>
      </c>
      <c r="B140" s="19"/>
      <c r="C140" s="43"/>
      <c r="D140" s="26"/>
      <c r="E140" s="26"/>
    </row>
    <row r="141" spans="1:5" x14ac:dyDescent="0.15">
      <c r="A141" s="13" t="str">
        <f>IF(LEN(B139)&gt;1,ROW()-ROW(A$1)-COUNTBLANK(A$2:A140),"")</f>
        <v/>
      </c>
      <c r="B141" s="19"/>
      <c r="C141" s="43"/>
      <c r="D141" s="26"/>
      <c r="E141" s="26"/>
    </row>
    <row r="142" spans="1:5" x14ac:dyDescent="0.15">
      <c r="A142" s="13" t="str">
        <f>IF(LEN(B140)&gt;1,ROW()-ROW(A$1)-COUNTBLANK(A$2:A141),"")</f>
        <v/>
      </c>
    </row>
    <row r="16423" spans="3:3" x14ac:dyDescent="0.15">
      <c r="C16423" s="11"/>
    </row>
  </sheetData>
  <phoneticPr fontId="5"/>
  <printOptions gridLinesSet="0"/>
  <pageMargins left="0.39370078740157483" right="0.39370078740157483" top="0.74803149606299213" bottom="0.47244094488188981" header="0.35433070866141736" footer="0.27559055118110237"/>
  <pageSetup paperSize="9" scale="90" fitToHeight="0" orientation="landscape" horizontalDpi="4294967292" verticalDpi="4294967292" r:id="rId1"/>
  <headerFooter alignWithMargins="0">
    <oddHeader>&amp;A</oddHeader>
    <oddFooter>- &amp;P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NewLineSet">
                <anchor moveWithCells="1" sizeWithCells="1">
                  <from>
                    <xdr:col>3</xdr:col>
                    <xdr:colOff>19050</xdr:colOff>
                    <xdr:row>0</xdr:row>
                    <xdr:rowOff>9525</xdr:rowOff>
                  </from>
                  <to>
                    <xdr:col>3</xdr:col>
                    <xdr:colOff>628650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O135"/>
  <sheetViews>
    <sheetView tabSelected="1" zoomScale="130" zoomScaleNormal="130" workbookViewId="0">
      <pane ySplit="1" topLeftCell="A2" activePane="bottomLeft" state="frozen"/>
      <selection pane="bottomLeft" activeCell="B10" sqref="B10"/>
    </sheetView>
  </sheetViews>
  <sheetFormatPr defaultRowHeight="12" x14ac:dyDescent="0.15"/>
  <cols>
    <col min="1" max="1" width="4.28515625" style="14" customWidth="1"/>
    <col min="2" max="2" width="35.7109375" style="23" customWidth="1"/>
    <col min="3" max="3" width="50.7109375" style="23" customWidth="1"/>
    <col min="4" max="4" width="75.7109375" style="31" customWidth="1"/>
    <col min="5" max="16384" width="9.140625" style="10"/>
  </cols>
  <sheetData>
    <row r="1" spans="1:15" ht="15.6" customHeight="1" thickBot="1" x14ac:dyDescent="0.2">
      <c r="A1" s="39" t="s">
        <v>185</v>
      </c>
      <c r="B1" s="5" t="s">
        <v>258</v>
      </c>
      <c r="C1" s="5" t="s">
        <v>257</v>
      </c>
      <c r="D1" s="5" t="s">
        <v>256</v>
      </c>
      <c r="E1" s="12"/>
      <c r="F1" s="12"/>
      <c r="G1" s="12"/>
      <c r="H1" s="12"/>
      <c r="I1" s="12"/>
      <c r="J1" s="12"/>
      <c r="K1" s="12"/>
      <c r="L1" s="12"/>
      <c r="M1" s="12"/>
      <c r="N1" s="12"/>
      <c r="O1" s="12"/>
    </row>
    <row r="2" spans="1:15" x14ac:dyDescent="0.15">
      <c r="A2" s="37"/>
      <c r="B2" s="36" t="s">
        <v>44</v>
      </c>
      <c r="C2" s="35"/>
      <c r="D2" s="35"/>
    </row>
    <row r="3" spans="1:15" x14ac:dyDescent="0.15">
      <c r="A3" s="11">
        <f>IF(LEN(B3)&gt;1,ROW()-ROW(A$1)-COUNTBLANK(A1:A$2),"")</f>
        <v>1</v>
      </c>
      <c r="B3" s="19" t="s">
        <v>255</v>
      </c>
      <c r="C3" s="26" t="s">
        <v>254</v>
      </c>
      <c r="D3" s="25"/>
    </row>
    <row r="4" spans="1:15" ht="22.5" x14ac:dyDescent="0.15">
      <c r="A4" s="11">
        <f>IF(LEN(B4)&gt;1,ROW()-ROW(A$1)-COUNTBLANK(A$2:A2),"")</f>
        <v>2</v>
      </c>
      <c r="B4" s="19" t="s">
        <v>253</v>
      </c>
      <c r="C4" s="26" t="s">
        <v>315</v>
      </c>
      <c r="D4" s="25" t="s">
        <v>178</v>
      </c>
    </row>
    <row r="5" spans="1:15" x14ac:dyDescent="0.15">
      <c r="A5" s="17">
        <f>IF(LEN(B5)&gt;1,ROW()-ROW(A$1)-COUNTBLANK(A$2:A4),"")</f>
        <v>3</v>
      </c>
      <c r="B5" s="20" t="s">
        <v>276</v>
      </c>
      <c r="C5" s="26" t="s">
        <v>277</v>
      </c>
      <c r="D5" s="30"/>
    </row>
    <row r="6" spans="1:15" ht="22.5" x14ac:dyDescent="0.15">
      <c r="A6" s="17">
        <f>IF(LEN(B6)&gt;1,ROW()-ROW(A$1)-COUNTBLANK(A$2:A5),"")</f>
        <v>4</v>
      </c>
      <c r="B6" s="38" t="s">
        <v>252</v>
      </c>
      <c r="C6" s="27" t="s">
        <v>316</v>
      </c>
      <c r="D6" s="30" t="s">
        <v>251</v>
      </c>
    </row>
    <row r="7" spans="1:15" x14ac:dyDescent="0.15">
      <c r="A7" s="17">
        <f>IF(LEN(B7)&gt;1,ROW()-ROW(A$1)-COUNTBLANK(A$2:A6),"")</f>
        <v>5</v>
      </c>
      <c r="B7" s="38" t="s">
        <v>250</v>
      </c>
      <c r="C7" s="27" t="s">
        <v>249</v>
      </c>
      <c r="D7" s="30"/>
    </row>
    <row r="8" spans="1:15" x14ac:dyDescent="0.15">
      <c r="A8" s="37" t="str">
        <f>IF(LEN(B8)&gt;1,ROW()-ROW(A$1)-COUNTBLANK(A$2:A7),"")</f>
        <v/>
      </c>
      <c r="B8" s="36" t="s">
        <v>50</v>
      </c>
      <c r="C8" s="35"/>
      <c r="D8" s="35"/>
    </row>
    <row r="9" spans="1:15" x14ac:dyDescent="0.15">
      <c r="A9" s="17">
        <f>IF(LEN(B9)&gt;1,ROW()-ROW(A$1)-COUNTBLANK(A$2:A8),"")</f>
        <v>6</v>
      </c>
      <c r="B9" s="20" t="s">
        <v>378</v>
      </c>
      <c r="C9" s="27"/>
      <c r="D9" s="27"/>
    </row>
    <row r="10" spans="1:15" ht="22.5" x14ac:dyDescent="0.15">
      <c r="A10" s="17">
        <f>IF(LEN(B10)&gt;1,ROW()-ROW(A$1)-COUNTBLANK(A$2:A9),"")</f>
        <v>7</v>
      </c>
      <c r="B10" s="20" t="s">
        <v>335</v>
      </c>
      <c r="C10" s="30" t="s">
        <v>338</v>
      </c>
      <c r="D10" s="27"/>
    </row>
    <row r="11" spans="1:15" x14ac:dyDescent="0.15">
      <c r="A11" s="37" t="str">
        <f>IF(LEN(B11)&gt;1,ROW()-ROW(A$1)-COUNTBLANK(A$2:A10),"")</f>
        <v/>
      </c>
      <c r="B11" s="36" t="s">
        <v>53</v>
      </c>
      <c r="C11" s="35"/>
      <c r="D11" s="35"/>
    </row>
    <row r="12" spans="1:15" x14ac:dyDescent="0.15">
      <c r="A12" s="37" t="str">
        <f>IF(LEN(B12)&gt;1,ROW()-ROW(A$1)-COUNTBLANK(A$2:A11),"")</f>
        <v/>
      </c>
      <c r="B12" s="36" t="s">
        <v>57</v>
      </c>
      <c r="C12" s="35"/>
      <c r="D12" s="35"/>
    </row>
    <row r="13" spans="1:15" x14ac:dyDescent="0.15">
      <c r="A13" s="37" t="str">
        <f>IF(LEN(B13)&gt;1,ROW()-ROW(A$1)-COUNTBLANK(A$2:A12),"")</f>
        <v/>
      </c>
      <c r="B13" s="36" t="s">
        <v>64</v>
      </c>
      <c r="C13" s="35"/>
      <c r="D13" s="35"/>
    </row>
    <row r="14" spans="1:15" x14ac:dyDescent="0.15">
      <c r="A14" s="37"/>
      <c r="B14" s="36" t="s">
        <v>341</v>
      </c>
      <c r="C14" s="35"/>
      <c r="D14" s="35"/>
    </row>
    <row r="15" spans="1:15" ht="33.75" x14ac:dyDescent="0.15">
      <c r="A15" s="17">
        <f>IF(LEN(B15)&gt;1,ROW()-ROW(A$1)-COUNTBLANK(A$2:A14),"")</f>
        <v>8</v>
      </c>
      <c r="B15" s="20" t="s">
        <v>264</v>
      </c>
      <c r="C15" s="30" t="s">
        <v>265</v>
      </c>
      <c r="D15" s="27"/>
    </row>
    <row r="16" spans="1:15" x14ac:dyDescent="0.15">
      <c r="A16" s="11">
        <f>IF(LEN(B16)&gt;1,ROW()-ROW(A$1)-COUNTBLANK(A$2:A15),"")</f>
        <v>9</v>
      </c>
      <c r="B16" s="19" t="s">
        <v>248</v>
      </c>
      <c r="C16" s="26" t="s">
        <v>317</v>
      </c>
      <c r="D16" s="26"/>
    </row>
    <row r="17" spans="1:4" x14ac:dyDescent="0.15">
      <c r="A17" s="11">
        <f>IF(LEN(B17)&gt;1,ROW()-ROW(A$1)-COUNTBLANK(A$2:A16),"")</f>
        <v>10</v>
      </c>
      <c r="B17" s="19" t="s">
        <v>247</v>
      </c>
      <c r="C17" s="25" t="s">
        <v>246</v>
      </c>
      <c r="D17" s="26"/>
    </row>
    <row r="18" spans="1:4" x14ac:dyDescent="0.15">
      <c r="A18" s="37"/>
      <c r="B18" s="36" t="s">
        <v>71</v>
      </c>
      <c r="C18" s="35"/>
      <c r="D18" s="35"/>
    </row>
    <row r="19" spans="1:4" x14ac:dyDescent="0.15">
      <c r="A19" s="37" t="str">
        <f>IF(LEN(B19)&gt;1,ROW()-ROW(A$1)-COUNTBLANK(A$2:A18),"")</f>
        <v/>
      </c>
      <c r="B19" s="36" t="s">
        <v>72</v>
      </c>
      <c r="C19" s="35"/>
      <c r="D19" s="35"/>
    </row>
    <row r="20" spans="1:4" x14ac:dyDescent="0.15">
      <c r="A20" s="11">
        <f>IF(LEN(B20)&gt;1,ROW()-ROW(A$1)-COUNTBLANK(A$2:A19),"")</f>
        <v>11</v>
      </c>
      <c r="B20" s="19" t="s">
        <v>245</v>
      </c>
      <c r="C20" s="26" t="s">
        <v>314</v>
      </c>
      <c r="D20" s="26"/>
    </row>
    <row r="21" spans="1:4" x14ac:dyDescent="0.15">
      <c r="A21" s="17">
        <f>IF(LEN(B21)&gt;1,ROW()-ROW(A$1)-COUNTBLANK(A$2:A20),"")</f>
        <v>12</v>
      </c>
      <c r="B21" s="20" t="s">
        <v>351</v>
      </c>
      <c r="C21" s="27" t="s">
        <v>352</v>
      </c>
      <c r="D21" s="27"/>
    </row>
    <row r="22" spans="1:4" x14ac:dyDescent="0.15">
      <c r="A22" s="11">
        <f>IF(LEN(B22)&gt;1,ROW()-ROW(A$1)-COUNTBLANK(A$2:A21),"")</f>
        <v>13</v>
      </c>
      <c r="B22" s="19" t="s">
        <v>244</v>
      </c>
      <c r="C22" s="26" t="s">
        <v>243</v>
      </c>
      <c r="D22" s="26" t="s">
        <v>342</v>
      </c>
    </row>
    <row r="23" spans="1:4" x14ac:dyDescent="0.15">
      <c r="A23" s="11">
        <f>IF(LEN(B23)&gt;1,ROW()-ROW(A$1)-COUNTBLANK(A$2:A22),"")</f>
        <v>14</v>
      </c>
      <c r="B23" s="19" t="s">
        <v>242</v>
      </c>
      <c r="C23" s="26" t="s">
        <v>241</v>
      </c>
      <c r="D23" s="26"/>
    </row>
    <row r="24" spans="1:4" x14ac:dyDescent="0.15">
      <c r="A24" s="11">
        <f>IF(LEN(B24)&gt;1,ROW()-ROW(A$1)-COUNTBLANK(A$2:A23),"")</f>
        <v>15</v>
      </c>
      <c r="B24" s="19" t="s">
        <v>240</v>
      </c>
      <c r="C24" s="26" t="s">
        <v>239</v>
      </c>
      <c r="D24" s="26"/>
    </row>
    <row r="25" spans="1:4" x14ac:dyDescent="0.15">
      <c r="A25" s="37"/>
      <c r="B25" s="36" t="s">
        <v>73</v>
      </c>
      <c r="C25" s="35"/>
      <c r="D25" s="35"/>
    </row>
    <row r="26" spans="1:4" ht="33.75" x14ac:dyDescent="0.15">
      <c r="A26" s="11">
        <f>IF(LEN(B26)&gt;1,ROW()-ROW(A$1)-COUNTBLANK(A$2:A25),"")</f>
        <v>16</v>
      </c>
      <c r="B26" s="19" t="s">
        <v>238</v>
      </c>
      <c r="C26" s="25" t="s">
        <v>237</v>
      </c>
      <c r="D26" s="25" t="s">
        <v>318</v>
      </c>
    </row>
    <row r="27" spans="1:4" x14ac:dyDescent="0.15">
      <c r="A27" s="11">
        <f>IF(LEN(B27)&gt;1,ROW()-ROW(A$1)-COUNTBLANK(A$2:A26),"")</f>
        <v>17</v>
      </c>
      <c r="B27" s="4" t="s">
        <v>236</v>
      </c>
      <c r="C27" s="25" t="s">
        <v>235</v>
      </c>
      <c r="D27" s="25"/>
    </row>
    <row r="28" spans="1:4" x14ac:dyDescent="0.15">
      <c r="A28" s="11">
        <f>IF(LEN(B28)&gt;1,ROW()-ROW(A$1)-COUNTBLANK(A$2:A27),"")</f>
        <v>18</v>
      </c>
      <c r="B28" s="19" t="s">
        <v>234</v>
      </c>
      <c r="C28" s="25" t="s">
        <v>233</v>
      </c>
      <c r="D28" s="25"/>
    </row>
    <row r="29" spans="1:4" x14ac:dyDescent="0.15">
      <c r="A29" s="11">
        <f>IF(LEN(B29)&gt;1,ROW()-ROW(A$1)-COUNTBLANK(A$2:A28),"")</f>
        <v>19</v>
      </c>
      <c r="B29" s="19" t="s">
        <v>232</v>
      </c>
      <c r="C29" s="26" t="s">
        <v>231</v>
      </c>
      <c r="D29" s="26" t="s">
        <v>230</v>
      </c>
    </row>
    <row r="30" spans="1:4" x14ac:dyDescent="0.15">
      <c r="A30" s="37"/>
      <c r="B30" s="36" t="s">
        <v>75</v>
      </c>
      <c r="C30" s="35"/>
      <c r="D30" s="35"/>
    </row>
    <row r="31" spans="1:4" x14ac:dyDescent="0.15">
      <c r="A31" s="37"/>
      <c r="B31" s="36" t="s">
        <v>76</v>
      </c>
      <c r="C31" s="35"/>
      <c r="D31" s="35"/>
    </row>
    <row r="32" spans="1:4" x14ac:dyDescent="0.15">
      <c r="A32" s="11">
        <f>IF(LEN(B32)&gt;1,ROW()-ROW(A$1)-COUNTBLANK(A$2:A31),"")</f>
        <v>20</v>
      </c>
      <c r="B32" s="19" t="s">
        <v>229</v>
      </c>
      <c r="C32" s="26" t="s">
        <v>228</v>
      </c>
      <c r="D32" s="26"/>
    </row>
    <row r="33" spans="1:4" x14ac:dyDescent="0.15">
      <c r="A33" s="11">
        <f>IF(LEN(B33)&gt;1,ROW()-ROW(A$1)-COUNTBLANK(A$2:A32),"")</f>
        <v>21</v>
      </c>
      <c r="B33" s="19" t="s">
        <v>227</v>
      </c>
      <c r="C33" s="26" t="s">
        <v>319</v>
      </c>
      <c r="D33" s="26"/>
    </row>
    <row r="34" spans="1:4" x14ac:dyDescent="0.15">
      <c r="A34" s="37"/>
      <c r="B34" s="36" t="s">
        <v>77</v>
      </c>
      <c r="C34" s="35"/>
      <c r="D34" s="35"/>
    </row>
    <row r="35" spans="1:4" x14ac:dyDescent="0.15">
      <c r="A35" s="11">
        <f>IF(LEN(B35)&gt;1,ROW()-ROW(A$1)-COUNTBLANK(A$2:A34),"")</f>
        <v>22</v>
      </c>
      <c r="B35" s="20" t="s">
        <v>377</v>
      </c>
      <c r="C35" s="27" t="s">
        <v>226</v>
      </c>
      <c r="D35" s="27"/>
    </row>
    <row r="36" spans="1:4" x14ac:dyDescent="0.15">
      <c r="A36" s="37" t="str">
        <f>IF(LEN(B36)&gt;1,ROW()-ROW(A$1)-COUNTBLANK(A$2:A35),"")</f>
        <v/>
      </c>
      <c r="B36" s="36" t="s">
        <v>78</v>
      </c>
      <c r="C36" s="35"/>
      <c r="D36" s="35"/>
    </row>
    <row r="37" spans="1:4" x14ac:dyDescent="0.15">
      <c r="A37" s="17">
        <f>IF(LEN(B37)&gt;1,ROW()-ROW(A$1)-COUNTBLANK(A$2:A36),"")</f>
        <v>23</v>
      </c>
      <c r="B37" s="20" t="s">
        <v>280</v>
      </c>
      <c r="C37" s="27" t="s">
        <v>320</v>
      </c>
      <c r="D37" s="27"/>
    </row>
    <row r="38" spans="1:4" ht="67.5" x14ac:dyDescent="0.15">
      <c r="A38" s="11">
        <f>IF(LEN(B38)&gt;1,ROW()-ROW(A$1)-COUNTBLANK(A$2:A37),"")</f>
        <v>24</v>
      </c>
      <c r="B38" s="20" t="s">
        <v>225</v>
      </c>
      <c r="C38" s="30" t="s">
        <v>224</v>
      </c>
      <c r="D38" s="30" t="s">
        <v>223</v>
      </c>
    </row>
    <row r="39" spans="1:4" x14ac:dyDescent="0.15">
      <c r="A39" s="37"/>
      <c r="B39" s="36" t="s">
        <v>79</v>
      </c>
      <c r="C39" s="35"/>
      <c r="D39" s="35"/>
    </row>
    <row r="40" spans="1:4" x14ac:dyDescent="0.15">
      <c r="A40" s="37"/>
      <c r="B40" s="36" t="s">
        <v>80</v>
      </c>
      <c r="C40" s="35"/>
      <c r="D40" s="35"/>
    </row>
    <row r="41" spans="1:4" x14ac:dyDescent="0.15">
      <c r="A41" s="17">
        <f>IF(LEN(B41)&gt;1,ROW()-ROW(A$1)-COUNTBLANK(A$2:A40),"")</f>
        <v>25</v>
      </c>
      <c r="B41" s="20" t="s">
        <v>339</v>
      </c>
      <c r="C41" s="27" t="s">
        <v>340</v>
      </c>
      <c r="D41" s="27"/>
    </row>
    <row r="42" spans="1:4" ht="22.5" x14ac:dyDescent="0.15">
      <c r="A42" s="11">
        <f>IF(LEN(B42)&gt;1,ROW()-ROW(A$1)-COUNTBLANK(A$2:A41),"")</f>
        <v>26</v>
      </c>
      <c r="B42" s="19" t="s">
        <v>222</v>
      </c>
      <c r="C42" s="26" t="s">
        <v>221</v>
      </c>
      <c r="D42" s="25" t="s">
        <v>321</v>
      </c>
    </row>
    <row r="43" spans="1:4" x14ac:dyDescent="0.15">
      <c r="A43" s="37"/>
      <c r="B43" s="36" t="s">
        <v>81</v>
      </c>
      <c r="C43" s="35"/>
      <c r="D43" s="35"/>
    </row>
    <row r="44" spans="1:4" x14ac:dyDescent="0.15">
      <c r="A44" s="17">
        <f>IF(LEN(B44)&gt;1,ROW()-ROW(A$1)-COUNTBLANK(A$2:A43),"")</f>
        <v>27</v>
      </c>
      <c r="B44" s="20" t="s">
        <v>374</v>
      </c>
      <c r="C44" s="27" t="s">
        <v>375</v>
      </c>
      <c r="D44" s="27"/>
    </row>
    <row r="45" spans="1:4" x14ac:dyDescent="0.15">
      <c r="A45" s="11">
        <f>IF(LEN(B45)&gt;1,ROW()-ROW(A$1)-COUNTBLANK(A$2:A44),"")</f>
        <v>28</v>
      </c>
      <c r="B45" s="19" t="s">
        <v>220</v>
      </c>
      <c r="C45" s="26" t="s">
        <v>219</v>
      </c>
      <c r="D45" s="26"/>
    </row>
    <row r="46" spans="1:4" x14ac:dyDescent="0.15">
      <c r="A46" s="11">
        <f>IF(LEN(B46)&gt;1,ROW()-ROW(A$1)-COUNTBLANK(A$2:A45),"")</f>
        <v>29</v>
      </c>
      <c r="B46" s="19" t="s">
        <v>218</v>
      </c>
      <c r="C46" s="26" t="s">
        <v>217</v>
      </c>
      <c r="D46" s="26" t="s">
        <v>216</v>
      </c>
    </row>
    <row r="47" spans="1:4" x14ac:dyDescent="0.15">
      <c r="A47" s="11"/>
      <c r="B47" s="36" t="s">
        <v>86</v>
      </c>
      <c r="C47" s="35"/>
      <c r="D47" s="35"/>
    </row>
    <row r="48" spans="1:4" ht="56.25" x14ac:dyDescent="0.15">
      <c r="A48" s="17">
        <f>IF(LEN(B48)&gt;1,ROW()-ROW(A$1)-COUNTBLANK(A$2:A47),"")</f>
        <v>30</v>
      </c>
      <c r="B48" s="38" t="s">
        <v>215</v>
      </c>
      <c r="C48" s="30" t="s">
        <v>322</v>
      </c>
      <c r="D48" s="27"/>
    </row>
    <row r="49" spans="1:4" x14ac:dyDescent="0.15">
      <c r="A49" s="11" t="str">
        <f>IF(LEN(B49)&gt;1,ROW()-ROW(A$1)-COUNTBLANK(A$2:A48),"")</f>
        <v/>
      </c>
      <c r="B49" s="36" t="s">
        <v>89</v>
      </c>
      <c r="C49" s="35"/>
      <c r="D49" s="35"/>
    </row>
    <row r="50" spans="1:4" x14ac:dyDescent="0.15">
      <c r="A50" s="11"/>
      <c r="B50" s="36" t="s">
        <v>91</v>
      </c>
      <c r="C50" s="35"/>
      <c r="D50" s="35"/>
    </row>
    <row r="51" spans="1:4" x14ac:dyDescent="0.15">
      <c r="A51" s="11">
        <f>IF(LEN(B51)&gt;1,ROW()-ROW(A$1)-COUNTBLANK(A$2:A50),"")</f>
        <v>31</v>
      </c>
      <c r="B51" s="19" t="s">
        <v>214</v>
      </c>
      <c r="C51" s="26" t="s">
        <v>336</v>
      </c>
      <c r="D51" s="26"/>
    </row>
    <row r="52" spans="1:4" x14ac:dyDescent="0.15">
      <c r="A52" s="11">
        <f>IF(LEN(B52)&gt;1,ROW()-ROW(A$1)-COUNTBLANK(A$2:A51),"")</f>
        <v>32</v>
      </c>
      <c r="B52" s="19" t="s">
        <v>213</v>
      </c>
      <c r="C52" s="26" t="s">
        <v>337</v>
      </c>
      <c r="D52" s="26"/>
    </row>
    <row r="53" spans="1:4" x14ac:dyDescent="0.15">
      <c r="A53" s="11">
        <f>IF(LEN(B53)&gt;1,ROW()-ROW(A$1)-COUNTBLANK(A$2:A51),"")</f>
        <v>33</v>
      </c>
      <c r="B53" s="19" t="s">
        <v>212</v>
      </c>
      <c r="C53" s="26" t="s">
        <v>211</v>
      </c>
      <c r="D53" s="26" t="s">
        <v>210</v>
      </c>
    </row>
    <row r="54" spans="1:4" x14ac:dyDescent="0.15">
      <c r="A54" s="11">
        <f>IF(LEN(B54)&gt;1,ROW()-ROW(A$1)-COUNTBLANK(A$2:A53),"")</f>
        <v>34</v>
      </c>
      <c r="B54" s="19" t="s">
        <v>209</v>
      </c>
      <c r="C54" s="26" t="s">
        <v>208</v>
      </c>
      <c r="D54" s="26"/>
    </row>
    <row r="55" spans="1:4" x14ac:dyDescent="0.15">
      <c r="A55" s="37"/>
      <c r="B55" s="36" t="s">
        <v>98</v>
      </c>
      <c r="C55" s="35"/>
      <c r="D55" s="35"/>
    </row>
    <row r="56" spans="1:4" ht="33.75" x14ac:dyDescent="0.15">
      <c r="A56" s="17">
        <f>IF(LEN(B56)&gt;1,ROW()-ROW(A$1)-COUNTBLANK(A$2:A55),"")</f>
        <v>35</v>
      </c>
      <c r="B56" s="20" t="s">
        <v>207</v>
      </c>
      <c r="C56" s="27" t="s">
        <v>206</v>
      </c>
      <c r="D56" s="30" t="s">
        <v>205</v>
      </c>
    </row>
    <row r="57" spans="1:4" x14ac:dyDescent="0.15">
      <c r="A57" s="11">
        <f>IF(LEN(B57)&gt;1,ROW()-ROW(A$1)-COUNTBLANK(A$2:A56),"")</f>
        <v>36</v>
      </c>
      <c r="B57" s="19" t="s">
        <v>204</v>
      </c>
      <c r="C57" s="26" t="s">
        <v>203</v>
      </c>
      <c r="D57" s="26"/>
    </row>
    <row r="58" spans="1:4" ht="22.5" x14ac:dyDescent="0.15">
      <c r="A58" s="11">
        <f>IF(LEN(B58)&gt;1,ROW()-ROW(A$1)-COUNTBLANK(A$2:A57),"")</f>
        <v>37</v>
      </c>
      <c r="B58" s="19" t="s">
        <v>202</v>
      </c>
      <c r="C58" s="26" t="s">
        <v>201</v>
      </c>
      <c r="D58" s="25" t="s">
        <v>200</v>
      </c>
    </row>
    <row r="59" spans="1:4" x14ac:dyDescent="0.15">
      <c r="A59" s="11">
        <f>IF(LEN(B59)&gt;1,ROW()-ROW(A$1)-COUNTBLANK(A$2:A58),"")</f>
        <v>38</v>
      </c>
      <c r="B59" s="19" t="s">
        <v>199</v>
      </c>
      <c r="C59" s="26" t="s">
        <v>323</v>
      </c>
      <c r="D59" s="26" t="s">
        <v>198</v>
      </c>
    </row>
    <row r="60" spans="1:4" ht="22.5" x14ac:dyDescent="0.15">
      <c r="A60" s="11">
        <f>IF(LEN(B60)&gt;1,ROW()-ROW(A$1)-COUNTBLANK(A$2:A59),"")</f>
        <v>39</v>
      </c>
      <c r="B60" s="19" t="s">
        <v>197</v>
      </c>
      <c r="C60" s="26" t="s">
        <v>324</v>
      </c>
      <c r="D60" s="25" t="s">
        <v>196</v>
      </c>
    </row>
    <row r="61" spans="1:4" x14ac:dyDescent="0.15">
      <c r="A61" s="37"/>
      <c r="B61" s="36" t="s">
        <v>99</v>
      </c>
      <c r="C61" s="35"/>
      <c r="D61" s="35"/>
    </row>
    <row r="62" spans="1:4" x14ac:dyDescent="0.15">
      <c r="A62" s="37"/>
      <c r="B62" s="36" t="s">
        <v>195</v>
      </c>
      <c r="C62" s="35"/>
      <c r="D62" s="35"/>
    </row>
    <row r="63" spans="1:4" x14ac:dyDescent="0.15">
      <c r="A63" s="37"/>
      <c r="B63" s="36" t="s">
        <v>104</v>
      </c>
      <c r="C63" s="35"/>
      <c r="D63" s="35"/>
    </row>
    <row r="64" spans="1:4" ht="22.5" x14ac:dyDescent="0.15">
      <c r="A64" s="17">
        <f>IF(LEN(B64)&gt;1,ROW()-ROW(A$1)-COUNTBLANK(A$2:A63),"")</f>
        <v>40</v>
      </c>
      <c r="B64" s="20" t="s">
        <v>274</v>
      </c>
      <c r="C64" s="30" t="s">
        <v>275</v>
      </c>
      <c r="D64" s="27"/>
    </row>
    <row r="65" spans="1:4" x14ac:dyDescent="0.15">
      <c r="A65" s="37" t="str">
        <f>IF(LEN(B65)&gt;1,ROW()-ROW(A$1)-COUNTBLANK(A$2:A64),"")</f>
        <v/>
      </c>
      <c r="B65" s="36" t="s">
        <v>105</v>
      </c>
      <c r="C65" s="35"/>
      <c r="D65" s="35"/>
    </row>
    <row r="66" spans="1:4" x14ac:dyDescent="0.15">
      <c r="A66" s="37"/>
      <c r="B66" s="36" t="s">
        <v>106</v>
      </c>
      <c r="C66" s="35"/>
      <c r="D66" s="35"/>
    </row>
    <row r="67" spans="1:4" x14ac:dyDescent="0.15">
      <c r="A67" s="37"/>
      <c r="B67" s="36" t="s">
        <v>107</v>
      </c>
      <c r="C67" s="35"/>
      <c r="D67" s="35"/>
    </row>
    <row r="68" spans="1:4" x14ac:dyDescent="0.15">
      <c r="A68" s="11"/>
      <c r="B68" s="19"/>
      <c r="C68" s="26"/>
      <c r="D68" s="26"/>
    </row>
    <row r="69" spans="1:4" x14ac:dyDescent="0.15">
      <c r="A69" s="11" t="str">
        <f>IF(LEN(B69)&gt;1,ROW()-ROW(A$1)-COUNTBLANK(A$2:A68),"")</f>
        <v/>
      </c>
      <c r="B69" s="19"/>
      <c r="C69" s="26"/>
      <c r="D69" s="26"/>
    </row>
    <row r="70" spans="1:4" x14ac:dyDescent="0.15">
      <c r="A70" s="11" t="str">
        <f>IF(LEN(B70)&gt;1,ROW()-ROW(A$1)-COUNTBLANK(A$2:A69),"")</f>
        <v/>
      </c>
      <c r="B70" s="19"/>
      <c r="C70" s="26"/>
      <c r="D70" s="26"/>
    </row>
    <row r="71" spans="1:4" x14ac:dyDescent="0.15">
      <c r="A71" s="11" t="str">
        <f>IF(LEN(B71)&gt;1,ROW()-ROW(A$1)-COUNTBLANK(A$2:A70),"")</f>
        <v/>
      </c>
      <c r="B71" s="19"/>
      <c r="C71" s="26"/>
      <c r="D71" s="26"/>
    </row>
    <row r="72" spans="1:4" x14ac:dyDescent="0.15">
      <c r="A72" s="11" t="str">
        <f>IF(LEN(B72)&gt;1,ROW()-ROW(A$1)-COUNTBLANK(A$2:A71),"")</f>
        <v/>
      </c>
      <c r="B72" s="19"/>
      <c r="C72" s="26"/>
      <c r="D72" s="26"/>
    </row>
    <row r="73" spans="1:4" x14ac:dyDescent="0.15">
      <c r="A73" s="11" t="str">
        <f>IF(LEN(B73)&gt;1,ROW()-ROW(A$1)-COUNTBLANK(A$2:A72),"")</f>
        <v/>
      </c>
      <c r="B73" s="19"/>
      <c r="C73" s="26"/>
      <c r="D73" s="26"/>
    </row>
    <row r="74" spans="1:4" x14ac:dyDescent="0.15">
      <c r="A74" s="11" t="str">
        <f>IF(LEN(B74)&gt;1,ROW()-ROW(A$1)-COUNTBLANK(A$2:A73),"")</f>
        <v/>
      </c>
      <c r="B74" s="19"/>
      <c r="C74" s="26"/>
      <c r="D74" s="26"/>
    </row>
    <row r="75" spans="1:4" x14ac:dyDescent="0.15">
      <c r="A75" s="11" t="str">
        <f>IF(LEN(B75)&gt;1,ROW()-ROW(A$1)-COUNTBLANK(A$2:A74),"")</f>
        <v/>
      </c>
      <c r="B75" s="19"/>
      <c r="C75" s="26"/>
      <c r="D75" s="26"/>
    </row>
    <row r="76" spans="1:4" x14ac:dyDescent="0.15">
      <c r="A76" s="11" t="str">
        <f>IF(LEN(B76)&gt;1,ROW()-ROW(A$1)-COUNTBLANK(A$2:A75),"")</f>
        <v/>
      </c>
      <c r="B76" s="19"/>
      <c r="C76" s="26"/>
      <c r="D76" s="26"/>
    </row>
    <row r="77" spans="1:4" x14ac:dyDescent="0.15">
      <c r="A77" s="11" t="str">
        <f>IF(LEN(B77)&gt;1,ROW()-ROW(A$1)-COUNTBLANK(A$2:A76),"")</f>
        <v/>
      </c>
      <c r="B77" s="19"/>
      <c r="C77" s="26"/>
      <c r="D77" s="26"/>
    </row>
    <row r="78" spans="1:4" x14ac:dyDescent="0.15">
      <c r="A78" s="11" t="str">
        <f>IF(LEN(B78)&gt;1,ROW()-ROW(A$1)-COUNTBLANK(A$2:A77),"")</f>
        <v/>
      </c>
      <c r="B78" s="19"/>
      <c r="C78" s="26"/>
      <c r="D78" s="26"/>
    </row>
    <row r="79" spans="1:4" x14ac:dyDescent="0.15">
      <c r="A79" s="11" t="str">
        <f>IF(LEN(B79)&gt;1,ROW()-ROW(A$1)-COUNTBLANK(A$2:A78),"")</f>
        <v/>
      </c>
      <c r="B79" s="19"/>
      <c r="C79" s="26"/>
      <c r="D79" s="26"/>
    </row>
    <row r="80" spans="1:4" x14ac:dyDescent="0.15">
      <c r="A80" s="11" t="str">
        <f>IF(LEN(B80)&gt;1,ROW()-ROW(A$1)-COUNTBLANK(A$2:A79),"")</f>
        <v/>
      </c>
      <c r="B80" s="19"/>
      <c r="C80" s="26"/>
      <c r="D80" s="26"/>
    </row>
    <row r="81" spans="1:4" x14ac:dyDescent="0.15">
      <c r="A81" s="11" t="str">
        <f>IF(LEN(B81)&gt;1,ROW()-ROW(A$1)-COUNTBLANK(A$2:A80),"")</f>
        <v/>
      </c>
      <c r="B81" s="19"/>
      <c r="C81" s="26"/>
      <c r="D81" s="26"/>
    </row>
    <row r="82" spans="1:4" x14ac:dyDescent="0.15">
      <c r="A82" s="11" t="str">
        <f>IF(LEN(B82)&gt;1,ROW()-ROW(A$1)-COUNTBLANK(A$2:A81),"")</f>
        <v/>
      </c>
      <c r="B82" s="19"/>
      <c r="C82" s="26"/>
      <c r="D82" s="26"/>
    </row>
    <row r="83" spans="1:4" x14ac:dyDescent="0.15">
      <c r="A83" s="11" t="str">
        <f>IF(LEN(B83)&gt;1,ROW()-ROW(A$1)-COUNTBLANK(A$2:A82),"")</f>
        <v/>
      </c>
      <c r="B83" s="19"/>
      <c r="C83" s="26"/>
      <c r="D83" s="26"/>
    </row>
    <row r="84" spans="1:4" x14ac:dyDescent="0.15">
      <c r="A84" s="11" t="str">
        <f>IF(LEN(B84)&gt;1,ROW()-ROW(A$1)-COUNTBLANK(A$2:A83),"")</f>
        <v/>
      </c>
      <c r="B84" s="19"/>
      <c r="C84" s="26"/>
      <c r="D84" s="26"/>
    </row>
    <row r="85" spans="1:4" x14ac:dyDescent="0.15">
      <c r="A85" s="11" t="str">
        <f>IF(LEN(B85)&gt;1,ROW()-ROW(A$1)-COUNTBLANK(A$2:A84),"")</f>
        <v/>
      </c>
      <c r="B85" s="19"/>
      <c r="C85" s="26"/>
      <c r="D85" s="26"/>
    </row>
    <row r="86" spans="1:4" x14ac:dyDescent="0.15">
      <c r="A86" s="11" t="str">
        <f>IF(LEN(B86)&gt;1,ROW()-ROW(A$1)-COUNTBLANK(A$2:A85),"")</f>
        <v/>
      </c>
      <c r="B86" s="19"/>
      <c r="C86" s="26"/>
      <c r="D86" s="26"/>
    </row>
    <row r="87" spans="1:4" x14ac:dyDescent="0.15">
      <c r="A87" s="11" t="str">
        <f>IF(LEN(B87)&gt;1,ROW()-ROW(A$1)-COUNTBLANK(A$2:A86),"")</f>
        <v/>
      </c>
      <c r="B87" s="19"/>
      <c r="C87" s="26"/>
      <c r="D87" s="26"/>
    </row>
    <row r="88" spans="1:4" x14ac:dyDescent="0.15">
      <c r="A88" s="11" t="str">
        <f>IF(LEN(B88)&gt;1,ROW()-ROW(A$1)-COUNTBLANK(A$2:A87),"")</f>
        <v/>
      </c>
      <c r="B88" s="19"/>
      <c r="C88" s="26"/>
      <c r="D88" s="26"/>
    </row>
    <row r="89" spans="1:4" x14ac:dyDescent="0.15">
      <c r="A89" s="11" t="str">
        <f>IF(LEN(B89)&gt;1,ROW()-ROW(A$1)-COUNTBLANK(A$2:A88),"")</f>
        <v/>
      </c>
      <c r="B89" s="19"/>
      <c r="C89" s="26"/>
      <c r="D89" s="26"/>
    </row>
    <row r="90" spans="1:4" x14ac:dyDescent="0.15">
      <c r="A90" s="11" t="str">
        <f>IF(LEN(B90)&gt;1,ROW()-ROW(A$1)-COUNTBLANK(A$2:A89),"")</f>
        <v/>
      </c>
      <c r="B90" s="19"/>
      <c r="C90" s="26"/>
      <c r="D90" s="26"/>
    </row>
    <row r="91" spans="1:4" x14ac:dyDescent="0.15">
      <c r="A91" s="11" t="str">
        <f>IF(LEN(B91)&gt;1,ROW()-ROW(A$1)-COUNTBLANK(A$2:A90),"")</f>
        <v/>
      </c>
      <c r="B91" s="19"/>
      <c r="C91" s="26"/>
      <c r="D91" s="26"/>
    </row>
    <row r="92" spans="1:4" x14ac:dyDescent="0.15">
      <c r="A92" s="11" t="str">
        <f>IF(LEN(B92)&gt;1,ROW()-ROW(A$1)-COUNTBLANK(A$2:A91),"")</f>
        <v/>
      </c>
      <c r="B92" s="19"/>
      <c r="C92" s="26"/>
      <c r="D92" s="26"/>
    </row>
    <row r="93" spans="1:4" x14ac:dyDescent="0.15">
      <c r="A93" s="11" t="str">
        <f>IF(LEN(B93)&gt;1,ROW()-ROW(A$1)-COUNTBLANK(A$2:A92),"")</f>
        <v/>
      </c>
      <c r="B93" s="19"/>
      <c r="C93" s="26"/>
      <c r="D93" s="26"/>
    </row>
    <row r="94" spans="1:4" x14ac:dyDescent="0.15">
      <c r="A94" s="11" t="str">
        <f>IF(LEN(B94)&gt;1,ROW()-ROW(A$1)-COUNTBLANK(A$2:A93),"")</f>
        <v/>
      </c>
      <c r="B94" s="19"/>
      <c r="C94" s="26"/>
      <c r="D94" s="26"/>
    </row>
    <row r="95" spans="1:4" x14ac:dyDescent="0.15">
      <c r="A95" s="11" t="str">
        <f>IF(LEN(B95)&gt;1,ROW()-ROW(A$1)-COUNTBLANK(A$2:A94),"")</f>
        <v/>
      </c>
      <c r="B95" s="19"/>
      <c r="C95" s="26"/>
      <c r="D95" s="26"/>
    </row>
    <row r="96" spans="1:4" x14ac:dyDescent="0.15">
      <c r="A96" s="11" t="str">
        <f>IF(LEN(B96)&gt;1,ROW()-ROW(A$1)-COUNTBLANK(A$2:A95),"")</f>
        <v/>
      </c>
      <c r="B96" s="19"/>
      <c r="C96" s="26"/>
      <c r="D96" s="26"/>
    </row>
    <row r="97" spans="1:4" x14ac:dyDescent="0.15">
      <c r="A97" s="11" t="str">
        <f>IF(LEN(B97)&gt;1,ROW()-ROW(A$1)-COUNTBLANK(A$2:A96),"")</f>
        <v/>
      </c>
      <c r="B97" s="19"/>
      <c r="C97" s="26"/>
      <c r="D97" s="26"/>
    </row>
    <row r="98" spans="1:4" x14ac:dyDescent="0.15">
      <c r="A98" s="11" t="str">
        <f>IF(LEN(B98)&gt;1,ROW()-ROW(A$1)-COUNTBLANK(A$2:A97),"")</f>
        <v/>
      </c>
      <c r="B98" s="19"/>
      <c r="C98" s="26"/>
      <c r="D98" s="26"/>
    </row>
    <row r="99" spans="1:4" x14ac:dyDescent="0.15">
      <c r="A99" s="11" t="str">
        <f>IF(LEN(B99)&gt;1,ROW()-ROW(A$1)-COUNTBLANK(A$2:A98),"")</f>
        <v/>
      </c>
      <c r="B99" s="19"/>
      <c r="C99" s="26"/>
      <c r="D99" s="26"/>
    </row>
    <row r="100" spans="1:4" x14ac:dyDescent="0.15">
      <c r="A100" s="11" t="str">
        <f>IF(LEN(B100)&gt;1,ROW()-ROW(A$1)-COUNTBLANK(A$2:A99),"")</f>
        <v/>
      </c>
      <c r="B100" s="19"/>
      <c r="C100" s="26"/>
      <c r="D100" s="26"/>
    </row>
    <row r="101" spans="1:4" x14ac:dyDescent="0.15">
      <c r="A101" s="11" t="str">
        <f>IF(LEN(B101)&gt;1,ROW()-ROW(A$1)-COUNTBLANK(A$2:A100),"")</f>
        <v/>
      </c>
      <c r="B101" s="19"/>
      <c r="C101" s="26"/>
      <c r="D101" s="26"/>
    </row>
    <row r="102" spans="1:4" x14ac:dyDescent="0.15">
      <c r="A102" s="11" t="str">
        <f>IF(LEN(B102)&gt;1,ROW()-ROW(A$1)-COUNTBLANK(A$2:A101),"")</f>
        <v/>
      </c>
      <c r="B102" s="19"/>
      <c r="C102" s="26"/>
      <c r="D102" s="26"/>
    </row>
    <row r="103" spans="1:4" x14ac:dyDescent="0.15">
      <c r="A103" s="11" t="str">
        <f>IF(LEN(B103)&gt;1,ROW()-ROW(A$1)-COUNTBLANK(A$2:A102),"")</f>
        <v/>
      </c>
      <c r="B103" s="19"/>
      <c r="C103" s="26"/>
      <c r="D103" s="26"/>
    </row>
    <row r="104" spans="1:4" x14ac:dyDescent="0.15">
      <c r="A104" s="11" t="str">
        <f>IF(LEN(B104)&gt;1,ROW()-ROW(A$1)-COUNTBLANK(A$2:A103),"")</f>
        <v/>
      </c>
      <c r="B104" s="19"/>
      <c r="C104" s="26"/>
      <c r="D104" s="26"/>
    </row>
    <row r="105" spans="1:4" x14ac:dyDescent="0.15">
      <c r="A105" s="11" t="str">
        <f>IF(LEN(B105)&gt;1,ROW()-ROW(A$1)-COUNTBLANK(A$2:A104),"")</f>
        <v/>
      </c>
      <c r="B105" s="19"/>
      <c r="C105" s="26"/>
      <c r="D105" s="26"/>
    </row>
    <row r="106" spans="1:4" x14ac:dyDescent="0.15">
      <c r="A106" s="11" t="str">
        <f>IF(LEN(B106)&gt;1,ROW()-ROW(A$1)-COUNTBLANK(A$2:A105),"")</f>
        <v/>
      </c>
      <c r="B106" s="19"/>
      <c r="C106" s="26"/>
      <c r="D106" s="26"/>
    </row>
    <row r="107" spans="1:4" x14ac:dyDescent="0.15">
      <c r="A107" s="11" t="str">
        <f>IF(LEN(B107)&gt;1,ROW()-ROW(A$1)-COUNTBLANK(A$2:A106),"")</f>
        <v/>
      </c>
      <c r="B107" s="19"/>
      <c r="C107" s="26"/>
      <c r="D107" s="26"/>
    </row>
    <row r="108" spans="1:4" x14ac:dyDescent="0.15">
      <c r="A108" s="11" t="str">
        <f>IF(LEN(B108)&gt;1,ROW()-ROW(A$1)-COUNTBLANK(A$2:A107),"")</f>
        <v/>
      </c>
      <c r="B108" s="19"/>
      <c r="C108" s="26"/>
      <c r="D108" s="26"/>
    </row>
    <row r="109" spans="1:4" x14ac:dyDescent="0.15">
      <c r="A109" s="11" t="str">
        <f>IF(LEN(B109)&gt;1,ROW()-ROW(A$1)-COUNTBLANK(A$2:A108),"")</f>
        <v/>
      </c>
      <c r="B109" s="19"/>
      <c r="C109" s="26"/>
      <c r="D109" s="26"/>
    </row>
    <row r="110" spans="1:4" x14ac:dyDescent="0.15">
      <c r="A110" s="11" t="str">
        <f>IF(LEN(B110)&gt;1,ROW()-ROW(A$1)-COUNTBLANK(A$2:A109),"")</f>
        <v/>
      </c>
      <c r="B110" s="19"/>
      <c r="C110" s="26"/>
      <c r="D110" s="26"/>
    </row>
    <row r="111" spans="1:4" x14ac:dyDescent="0.15">
      <c r="A111" s="11" t="str">
        <f>IF(LEN(B111)&gt;1,ROW()-ROW(A$1)-COUNTBLANK(A$2:A110),"")</f>
        <v/>
      </c>
      <c r="B111" s="19"/>
      <c r="C111" s="26"/>
      <c r="D111" s="26"/>
    </row>
    <row r="112" spans="1:4" x14ac:dyDescent="0.15">
      <c r="A112" s="11" t="str">
        <f>IF(LEN(B112)&gt;1,ROW()-ROW(A$1)-COUNTBLANK(A$2:A111),"")</f>
        <v/>
      </c>
      <c r="B112" s="19"/>
      <c r="C112" s="26"/>
      <c r="D112" s="26"/>
    </row>
    <row r="113" spans="1:4" x14ac:dyDescent="0.15">
      <c r="A113" s="11" t="str">
        <f>IF(LEN(B113)&gt;1,ROW()-ROW(A$1)-COUNTBLANK(A$2:A112),"")</f>
        <v/>
      </c>
      <c r="B113" s="19"/>
      <c r="C113" s="26"/>
      <c r="D113" s="26"/>
    </row>
    <row r="114" spans="1:4" x14ac:dyDescent="0.15">
      <c r="A114" s="11" t="str">
        <f>IF(LEN(B114)&gt;1,ROW()-ROW(A$1)-COUNTBLANK(A$2:A113),"")</f>
        <v/>
      </c>
      <c r="B114" s="19"/>
      <c r="C114" s="26"/>
      <c r="D114" s="26"/>
    </row>
    <row r="115" spans="1:4" x14ac:dyDescent="0.15">
      <c r="A115" s="11" t="str">
        <f>IF(LEN(B115)&gt;1,ROW()-ROW(A$1)-COUNTBLANK(A$2:A114),"")</f>
        <v/>
      </c>
      <c r="B115" s="19"/>
      <c r="C115" s="26"/>
      <c r="D115" s="26"/>
    </row>
    <row r="116" spans="1:4" x14ac:dyDescent="0.15">
      <c r="A116" s="11" t="str">
        <f>IF(LEN(B116)&gt;1,ROW()-ROW(A$1)-COUNTBLANK(A$2:A115),"")</f>
        <v/>
      </c>
      <c r="B116" s="19"/>
      <c r="C116" s="26"/>
      <c r="D116" s="26"/>
    </row>
    <row r="117" spans="1:4" x14ac:dyDescent="0.15">
      <c r="A117" s="11" t="str">
        <f>IF(LEN(B117)&gt;1,ROW()-ROW(A$1)-COUNTBLANK(A$2:A116),"")</f>
        <v/>
      </c>
      <c r="B117" s="19"/>
      <c r="C117" s="26"/>
      <c r="D117" s="26"/>
    </row>
    <row r="118" spans="1:4" x14ac:dyDescent="0.15">
      <c r="A118" s="11" t="str">
        <f>IF(LEN(B118)&gt;1,ROW()-ROW(A$1)-COUNTBLANK(A$2:A117),"")</f>
        <v/>
      </c>
      <c r="B118" s="19"/>
      <c r="C118" s="26"/>
      <c r="D118" s="26"/>
    </row>
    <row r="119" spans="1:4" x14ac:dyDescent="0.15">
      <c r="A119" s="11" t="str">
        <f>IF(LEN(B119)&gt;1,ROW()-ROW(A$1)-COUNTBLANK(A$2:A118),"")</f>
        <v/>
      </c>
      <c r="B119" s="19"/>
      <c r="C119" s="26"/>
      <c r="D119" s="26"/>
    </row>
    <row r="120" spans="1:4" x14ac:dyDescent="0.15">
      <c r="A120" s="11" t="str">
        <f>IF(LEN(B120)&gt;1,ROW()-ROW(A$1)-COUNTBLANK(A$2:A119),"")</f>
        <v/>
      </c>
      <c r="B120" s="19"/>
      <c r="C120" s="26"/>
      <c r="D120" s="26"/>
    </row>
    <row r="121" spans="1:4" x14ac:dyDescent="0.15">
      <c r="A121" s="11" t="str">
        <f>IF(LEN(B121)&gt;1,ROW()-ROW(A$1)-COUNTBLANK(A$2:A120),"")</f>
        <v/>
      </c>
      <c r="B121" s="19"/>
      <c r="C121" s="26"/>
      <c r="D121" s="26"/>
    </row>
    <row r="122" spans="1:4" x14ac:dyDescent="0.15">
      <c r="A122" s="11" t="str">
        <f>IF(LEN(B122)&gt;1,ROW()-ROW(A$1)-COUNTBLANK(A$2:A121),"")</f>
        <v/>
      </c>
      <c r="B122" s="19"/>
      <c r="C122" s="26"/>
      <c r="D122" s="26"/>
    </row>
    <row r="123" spans="1:4" x14ac:dyDescent="0.15">
      <c r="A123" s="11" t="str">
        <f>IF(LEN(B123)&gt;1,ROW()-ROW(A$1)-COUNTBLANK(A$2:A122),"")</f>
        <v/>
      </c>
      <c r="B123" s="19"/>
      <c r="C123" s="26"/>
      <c r="D123" s="26"/>
    </row>
    <row r="124" spans="1:4" x14ac:dyDescent="0.15">
      <c r="A124" s="11" t="str">
        <f>IF(LEN(B124)&gt;1,ROW()-ROW(A$1)-COUNTBLANK(A$2:A123),"")</f>
        <v/>
      </c>
      <c r="B124" s="19"/>
      <c r="C124" s="26"/>
      <c r="D124" s="26"/>
    </row>
    <row r="125" spans="1:4" x14ac:dyDescent="0.15">
      <c r="A125" s="11" t="str">
        <f>IF(LEN(B125)&gt;1,ROW()-ROW(A$1)-COUNTBLANK(A$2:A124),"")</f>
        <v/>
      </c>
      <c r="B125" s="19"/>
      <c r="C125" s="26"/>
      <c r="D125" s="26"/>
    </row>
    <row r="126" spans="1:4" x14ac:dyDescent="0.15">
      <c r="A126" s="11" t="str">
        <f>IF(LEN(B126)&gt;1,ROW()-ROW(A$1)-COUNTBLANK(A$2:A125),"")</f>
        <v/>
      </c>
      <c r="B126" s="19"/>
      <c r="C126" s="26"/>
      <c r="D126" s="26"/>
    </row>
    <row r="127" spans="1:4" x14ac:dyDescent="0.15">
      <c r="A127" s="11" t="str">
        <f>IF(LEN(B127)&gt;1,ROW()-ROW(A$1)-COUNTBLANK(A$2:A126),"")</f>
        <v/>
      </c>
      <c r="B127" s="19"/>
      <c r="C127" s="26"/>
      <c r="D127" s="26"/>
    </row>
    <row r="128" spans="1:4" x14ac:dyDescent="0.15">
      <c r="A128" s="11" t="str">
        <f>IF(LEN(B128)&gt;1,ROW()-ROW(A$1)-COUNTBLANK(A$2:A127),"")</f>
        <v/>
      </c>
      <c r="B128" s="19"/>
      <c r="C128" s="26"/>
      <c r="D128" s="26"/>
    </row>
    <row r="129" spans="1:4" x14ac:dyDescent="0.15">
      <c r="A129" s="11" t="str">
        <f>IF(LEN(B129)&gt;1,ROW()-ROW(A$1)-COUNTBLANK(A$2:A128),"")</f>
        <v/>
      </c>
      <c r="B129" s="19"/>
      <c r="C129" s="26"/>
      <c r="D129" s="26"/>
    </row>
    <row r="130" spans="1:4" x14ac:dyDescent="0.15">
      <c r="A130" s="11" t="str">
        <f>IF(LEN(B130)&gt;1,ROW()-ROW(A$1)-COUNTBLANK(A$2:A129),"")</f>
        <v/>
      </c>
      <c r="B130" s="19"/>
      <c r="C130" s="26"/>
      <c r="D130" s="26"/>
    </row>
    <row r="131" spans="1:4" x14ac:dyDescent="0.15">
      <c r="A131" s="11" t="str">
        <f>IF(LEN(B131)&gt;1,ROW()-ROW(A$1)-COUNTBLANK(A$2:A130),"")</f>
        <v/>
      </c>
      <c r="B131" s="19"/>
      <c r="C131" s="26"/>
      <c r="D131" s="26"/>
    </row>
    <row r="132" spans="1:4" x14ac:dyDescent="0.15">
      <c r="A132" s="11" t="str">
        <f>IF(LEN(B132)&gt;1,ROW()-ROW(A$1)-COUNTBLANK(A$2:A131),"")</f>
        <v/>
      </c>
      <c r="B132" s="19"/>
      <c r="C132" s="26"/>
      <c r="D132" s="26"/>
    </row>
    <row r="133" spans="1:4" x14ac:dyDescent="0.15">
      <c r="A133" s="11" t="str">
        <f>IF(LEN(B133)&gt;1,ROW()-ROW(A$1)-COUNTBLANK(A$2:A132),"")</f>
        <v/>
      </c>
      <c r="B133" s="19"/>
      <c r="C133" s="26"/>
      <c r="D133" s="26"/>
    </row>
    <row r="134" spans="1:4" x14ac:dyDescent="0.15">
      <c r="A134" s="11" t="str">
        <f>IF(LEN(B134)&gt;1,ROW()-ROW(A$1)-COUNTBLANK(A$2:A133),"")</f>
        <v/>
      </c>
      <c r="B134" s="19"/>
      <c r="C134" s="26"/>
      <c r="D134" s="26"/>
    </row>
    <row r="135" spans="1:4" x14ac:dyDescent="0.15">
      <c r="A135" s="11" t="str">
        <f>IF(LEN(B135)&gt;1,ROW()-ROW(A$1)-COUNTBLANK(A$2:A134),"")</f>
        <v/>
      </c>
      <c r="B135" s="19"/>
      <c r="C135" s="26"/>
      <c r="D135" s="26"/>
    </row>
  </sheetData>
  <phoneticPr fontId="5"/>
  <printOptions gridLinesSet="0"/>
  <pageMargins left="0.39370078740157483" right="0.39370078740157483" top="0.74803149606299213" bottom="0.47244094488188981" header="0.35433070866141736" footer="0.27559055118110237"/>
  <pageSetup paperSize="9" scale="93" fitToHeight="0" orientation="landscape" horizontalDpi="4294967292" verticalDpi="4294967292" r:id="rId1"/>
  <headerFooter alignWithMargins="0">
    <oddHeader>&amp;A</oddHeader>
    <oddFooter>- &amp;P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NewLineSet" altText="新規行作成i _x000a_">
                <anchor moveWithCells="1" sizeWithCells="1">
                  <from>
                    <xdr:col>2</xdr:col>
                    <xdr:colOff>19050</xdr:colOff>
                    <xdr:row>0</xdr:row>
                    <xdr:rowOff>0</xdr:rowOff>
                  </from>
                  <to>
                    <xdr:col>2</xdr:col>
                    <xdr:colOff>628650</xdr:colOff>
                    <xdr:row>0</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5646"/>
  <sheetViews>
    <sheetView workbookViewId="0">
      <selection activeCell="D37" sqref="D37"/>
    </sheetView>
  </sheetViews>
  <sheetFormatPr defaultRowHeight="13.5" x14ac:dyDescent="0.15"/>
  <cols>
    <col min="1" max="1" width="4.28515625" style="2" customWidth="1"/>
    <col min="2" max="2" width="22.7109375" style="9" customWidth="1"/>
    <col min="3" max="3" width="4.28515625" style="2" customWidth="1"/>
    <col min="4" max="4" width="67.7109375" style="1" customWidth="1"/>
    <col min="5" max="5" width="72.7109375" style="1" customWidth="1"/>
    <col min="6" max="16384" width="9.140625" style="1"/>
  </cols>
  <sheetData>
    <row r="1" spans="1:5" ht="15" customHeight="1" thickBot="1" x14ac:dyDescent="0.2">
      <c r="A1" s="7" t="s">
        <v>0</v>
      </c>
      <c r="B1" s="5" t="s">
        <v>1</v>
      </c>
      <c r="C1" s="6" t="s">
        <v>2</v>
      </c>
      <c r="D1" s="5" t="s">
        <v>3</v>
      </c>
      <c r="E1" s="5" t="s">
        <v>4</v>
      </c>
    </row>
    <row r="2" spans="1:5" x14ac:dyDescent="0.15">
      <c r="A2" s="3">
        <f>IF(A1="No",1,A1+1)</f>
        <v>1</v>
      </c>
      <c r="B2" s="8" t="s">
        <v>109</v>
      </c>
      <c r="C2" s="3" t="s">
        <v>116</v>
      </c>
      <c r="D2" s="4"/>
      <c r="E2" s="4"/>
    </row>
    <row r="3" spans="1:5" x14ac:dyDescent="0.15">
      <c r="A3" s="3">
        <f t="shared" ref="A3:A31" si="0">IF(A2="No",1,A2+1)</f>
        <v>2</v>
      </c>
      <c r="B3" s="8" t="s">
        <v>110</v>
      </c>
      <c r="C3" s="3"/>
      <c r="D3" s="4"/>
      <c r="E3" s="4"/>
    </row>
    <row r="4" spans="1:5" x14ac:dyDescent="0.15">
      <c r="A4" s="3">
        <f t="shared" si="0"/>
        <v>3</v>
      </c>
      <c r="B4" s="8" t="s">
        <v>111</v>
      </c>
      <c r="C4" s="3"/>
      <c r="D4" s="4"/>
      <c r="E4" s="4"/>
    </row>
    <row r="5" spans="1:5" x14ac:dyDescent="0.15">
      <c r="A5" s="3">
        <f t="shared" si="0"/>
        <v>4</v>
      </c>
      <c r="B5" s="8" t="s">
        <v>112</v>
      </c>
      <c r="C5" s="3"/>
      <c r="D5" s="4"/>
      <c r="E5" s="4"/>
    </row>
    <row r="6" spans="1:5" x14ac:dyDescent="0.15">
      <c r="A6" s="3">
        <f t="shared" si="0"/>
        <v>5</v>
      </c>
      <c r="B6" s="8"/>
      <c r="C6" s="3"/>
      <c r="D6" s="4"/>
      <c r="E6" s="4"/>
    </row>
    <row r="7" spans="1:5" x14ac:dyDescent="0.15">
      <c r="A7" s="3">
        <f t="shared" si="0"/>
        <v>6</v>
      </c>
      <c r="B7" s="8"/>
      <c r="C7" s="3"/>
      <c r="D7" s="4"/>
      <c r="E7" s="4"/>
    </row>
    <row r="8" spans="1:5" x14ac:dyDescent="0.15">
      <c r="A8" s="3">
        <f t="shared" si="0"/>
        <v>7</v>
      </c>
      <c r="B8" s="8"/>
      <c r="C8" s="3"/>
      <c r="D8" s="4"/>
      <c r="E8" s="4"/>
    </row>
    <row r="9" spans="1:5" x14ac:dyDescent="0.15">
      <c r="A9" s="3">
        <f t="shared" si="0"/>
        <v>8</v>
      </c>
      <c r="B9" s="8"/>
      <c r="C9" s="3"/>
      <c r="D9" s="4"/>
      <c r="E9" s="4"/>
    </row>
    <row r="10" spans="1:5" x14ac:dyDescent="0.15">
      <c r="A10" s="3">
        <f t="shared" si="0"/>
        <v>9</v>
      </c>
      <c r="B10" s="8"/>
      <c r="C10" s="3"/>
      <c r="D10" s="4"/>
      <c r="E10" s="4"/>
    </row>
    <row r="11" spans="1:5" x14ac:dyDescent="0.15">
      <c r="A11" s="3">
        <f t="shared" si="0"/>
        <v>10</v>
      </c>
      <c r="B11" s="8"/>
      <c r="C11" s="3"/>
      <c r="D11" s="4"/>
      <c r="E11" s="4"/>
    </row>
    <row r="12" spans="1:5" x14ac:dyDescent="0.15">
      <c r="A12" s="3">
        <f t="shared" si="0"/>
        <v>11</v>
      </c>
      <c r="B12" s="8"/>
      <c r="C12" s="3"/>
      <c r="D12" s="4"/>
      <c r="E12" s="4"/>
    </row>
    <row r="13" spans="1:5" x14ac:dyDescent="0.15">
      <c r="A13" s="3">
        <f t="shared" si="0"/>
        <v>12</v>
      </c>
      <c r="B13" s="8"/>
      <c r="C13" s="3"/>
      <c r="D13" s="4"/>
      <c r="E13" s="4"/>
    </row>
    <row r="14" spans="1:5" x14ac:dyDescent="0.15">
      <c r="A14" s="3">
        <f t="shared" si="0"/>
        <v>13</v>
      </c>
      <c r="B14" s="8"/>
      <c r="C14" s="3"/>
      <c r="D14" s="4"/>
      <c r="E14" s="4"/>
    </row>
    <row r="15" spans="1:5" x14ac:dyDescent="0.15">
      <c r="A15" s="3">
        <f t="shared" si="0"/>
        <v>14</v>
      </c>
      <c r="B15" s="8"/>
      <c r="C15" s="3"/>
      <c r="D15" s="4"/>
      <c r="E15" s="4"/>
    </row>
    <row r="16" spans="1:5" x14ac:dyDescent="0.15">
      <c r="A16" s="3">
        <f t="shared" si="0"/>
        <v>15</v>
      </c>
      <c r="B16" s="8"/>
      <c r="C16" s="3"/>
      <c r="D16" s="4"/>
      <c r="E16" s="4"/>
    </row>
    <row r="17" spans="1:5" x14ac:dyDescent="0.15">
      <c r="A17" s="3">
        <f t="shared" si="0"/>
        <v>16</v>
      </c>
      <c r="B17" s="8"/>
      <c r="C17" s="3"/>
      <c r="D17" s="4"/>
      <c r="E17" s="4"/>
    </row>
    <row r="18" spans="1:5" x14ac:dyDescent="0.15">
      <c r="A18" s="3">
        <f t="shared" si="0"/>
        <v>17</v>
      </c>
      <c r="B18" s="8"/>
      <c r="C18" s="3"/>
      <c r="D18" s="4"/>
      <c r="E18" s="4"/>
    </row>
    <row r="19" spans="1:5" x14ac:dyDescent="0.15">
      <c r="A19" s="3">
        <f t="shared" si="0"/>
        <v>18</v>
      </c>
      <c r="B19" s="8"/>
      <c r="C19" s="3"/>
      <c r="D19" s="4"/>
      <c r="E19" s="4"/>
    </row>
    <row r="20" spans="1:5" x14ac:dyDescent="0.15">
      <c r="A20" s="3">
        <f t="shared" si="0"/>
        <v>19</v>
      </c>
      <c r="B20" s="8"/>
      <c r="C20" s="3"/>
      <c r="D20" s="4"/>
      <c r="E20" s="4"/>
    </row>
    <row r="21" spans="1:5" x14ac:dyDescent="0.15">
      <c r="A21" s="3">
        <f t="shared" si="0"/>
        <v>20</v>
      </c>
      <c r="B21" s="8"/>
      <c r="C21" s="3"/>
      <c r="D21" s="4"/>
      <c r="E21" s="4"/>
    </row>
    <row r="22" spans="1:5" x14ac:dyDescent="0.15">
      <c r="A22" s="3">
        <f t="shared" si="0"/>
        <v>21</v>
      </c>
      <c r="B22" s="8"/>
      <c r="C22" s="3"/>
      <c r="D22" s="4"/>
      <c r="E22" s="4"/>
    </row>
    <row r="23" spans="1:5" x14ac:dyDescent="0.15">
      <c r="A23" s="3">
        <f t="shared" si="0"/>
        <v>22</v>
      </c>
      <c r="B23" s="8"/>
      <c r="C23" s="3"/>
      <c r="D23" s="4"/>
      <c r="E23" s="4"/>
    </row>
    <row r="24" spans="1:5" x14ac:dyDescent="0.15">
      <c r="A24" s="3">
        <f t="shared" si="0"/>
        <v>23</v>
      </c>
      <c r="B24" s="8"/>
      <c r="C24" s="3"/>
      <c r="D24" s="4"/>
      <c r="E24" s="4"/>
    </row>
    <row r="25" spans="1:5" x14ac:dyDescent="0.15">
      <c r="A25" s="3">
        <f t="shared" si="0"/>
        <v>24</v>
      </c>
      <c r="B25" s="8"/>
      <c r="C25" s="3"/>
      <c r="D25" s="4"/>
      <c r="E25" s="4"/>
    </row>
    <row r="26" spans="1:5" x14ac:dyDescent="0.15">
      <c r="A26" s="3">
        <f t="shared" si="0"/>
        <v>25</v>
      </c>
      <c r="B26" s="8"/>
      <c r="C26" s="3"/>
      <c r="D26" s="4"/>
      <c r="E26" s="4"/>
    </row>
    <row r="27" spans="1:5" x14ac:dyDescent="0.15">
      <c r="A27" s="3">
        <f t="shared" si="0"/>
        <v>26</v>
      </c>
      <c r="B27" s="8"/>
      <c r="C27" s="3"/>
      <c r="D27" s="4"/>
      <c r="E27" s="4"/>
    </row>
    <row r="28" spans="1:5" x14ac:dyDescent="0.15">
      <c r="A28" s="3">
        <f t="shared" si="0"/>
        <v>27</v>
      </c>
      <c r="B28" s="8"/>
      <c r="C28" s="3"/>
      <c r="D28" s="4"/>
      <c r="E28" s="4"/>
    </row>
    <row r="29" spans="1:5" x14ac:dyDescent="0.15">
      <c r="A29" s="3">
        <f t="shared" si="0"/>
        <v>28</v>
      </c>
      <c r="B29" s="8"/>
      <c r="C29" s="3"/>
      <c r="D29" s="4"/>
      <c r="E29" s="4"/>
    </row>
    <row r="30" spans="1:5" x14ac:dyDescent="0.15">
      <c r="A30" s="3">
        <f t="shared" si="0"/>
        <v>29</v>
      </c>
      <c r="B30" s="8"/>
      <c r="C30" s="3"/>
      <c r="D30" s="4"/>
      <c r="E30" s="4"/>
    </row>
    <row r="31" spans="1:5" x14ac:dyDescent="0.15">
      <c r="A31" s="3">
        <f t="shared" si="0"/>
        <v>30</v>
      </c>
      <c r="B31" s="8"/>
      <c r="C31" s="3"/>
      <c r="D31" s="4"/>
      <c r="E31" s="4"/>
    </row>
    <row r="15646" spans="3:3" x14ac:dyDescent="0.15">
      <c r="C15646" s="3" t="s">
        <v>9</v>
      </c>
    </row>
  </sheetData>
  <phoneticPr fontId="5"/>
  <printOptions gridLinesSet="0"/>
  <pageMargins left="0.70866141732283472" right="0.39370078740157483" top="0.78740157480314965" bottom="0.59055118110236227" header="0.51181102362204722" footer="0.51181102362204722"/>
  <pageSetup paperSize="9" orientation="portrait" horizontalDpi="4294967292" verticalDpi="0" r:id="rId1"/>
  <headerFooter alignWithMargins="0">
    <oddHeader>&amp;A</oddHeader>
    <oddFooter>- &amp;P -</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英単語帳</vt:lpstr>
      <vt:lpstr>英熟語帳</vt:lpstr>
      <vt:lpstr>ワークシート</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英単語</dc:title>
  <dc:creator>笠原　浩</dc:creator>
  <cp:lastModifiedBy>Hiroshi Kasahara</cp:lastModifiedBy>
  <cp:lastPrinted>2011-04-29T00:43:16Z</cp:lastPrinted>
  <dcterms:created xsi:type="dcterms:W3CDTF">2011-04-29T01:51:51Z</dcterms:created>
  <dcterms:modified xsi:type="dcterms:W3CDTF">2014-05-07T07:23:36Z</dcterms:modified>
</cp:coreProperties>
</file>